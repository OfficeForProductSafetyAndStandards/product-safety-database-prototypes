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514"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Dimitri/Projects/Prototypes/PRISM/app/assets/images/"/>
    </mc:Choice>
  </mc:AlternateContent>
  <xr:revisionPtr revIDLastSave="0" documentId="8_{19B8349E-C089-8749-AC61-69F89C6323AC}" xr6:coauthVersionLast="47" xr6:coauthVersionMax="47" xr10:uidLastSave="{00000000-0000-0000-0000-000000000000}"/>
  <bookViews>
    <workbookView xWindow="400" yWindow="500" windowWidth="35660" windowHeight="27080" activeTab="1" xr2:uid="{00000000-000D-0000-FFFF-FFFF00000000}"/>
  </bookViews>
  <sheets>
    <sheet name="Useful information " sheetId="3" state="hidden" r:id="rId1"/>
    <sheet name="Risk evaluation" sheetId="10" r:id="rId2"/>
    <sheet name="HIDE scores for TT" sheetId="2" state="hidden" r:id="rId3"/>
    <sheet name="HIDE scores for PRISM" sheetId="7" state="hidden" r:id="rId4"/>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6" i="2" l="1"/>
  <c r="F14" i="2" l="1"/>
  <c r="L9" i="2"/>
  <c r="F15" i="2" l="1"/>
  <c r="F17" i="2" l="1"/>
  <c r="F18" i="2"/>
  <c r="F19" i="2" l="1"/>
</calcChain>
</file>

<file path=xl/sharedStrings.xml><?xml version="1.0" encoding="utf-8"?>
<sst xmlns="http://schemas.openxmlformats.org/spreadsheetml/2006/main" count="635" uniqueCount="307">
  <si>
    <t>Single consumer complaint - harm has occurred</t>
  </si>
  <si>
    <t>Level 2: Injury or ill health for which a visit to A&amp;E may be necessary, but in general, hospitalisation is not required. Functioning may be affected for a limited period, not more than about 6 months, and recovery is more or less complete.</t>
  </si>
  <si>
    <t>Unusual - an unlikely event (&gt;1/1,000)</t>
  </si>
  <si>
    <t>There is one hazard associated with non-compliance</t>
  </si>
  <si>
    <t>Prevalence low (&lt;10k items in use) but expected to increase in the short term</t>
  </si>
  <si>
    <t>Typical hazards</t>
  </si>
  <si>
    <t>Examples of harm</t>
  </si>
  <si>
    <t xml:space="preserve">Mechanical </t>
  </si>
  <si>
    <t>Sharp edges that can cut fingers, or tight openings in which someone can trap their fingers;</t>
  </si>
  <si>
    <t>Choking</t>
  </si>
  <si>
    <t>Small parts that come loose from a toy, which may be swallowed by a child and make the child choke;</t>
  </si>
  <si>
    <t>Suffocation</t>
  </si>
  <si>
    <t>Drawstrings of an anorak hood which may lead to strangulation</t>
  </si>
  <si>
    <t>Electrical</t>
  </si>
  <si>
    <t>Live electrical parts that can cause an electric shock</t>
  </si>
  <si>
    <t>Heat or fire</t>
  </si>
  <si>
    <t>Heater fan that overheats, catches fire and causes burns</t>
  </si>
  <si>
    <t>Thermal</t>
  </si>
  <si>
    <t>Hot outer surface of an oven that can cause a burn</t>
  </si>
  <si>
    <t>Chemical</t>
  </si>
  <si>
    <t>Toxic substance that can poison a consumer immediately upon ingestion, or a carcinogenic substance that can cause cancer in the long term. Some chemicals may damage the consumer only after repeated exposure</t>
  </si>
  <si>
    <t>Microbiological</t>
  </si>
  <si>
    <t>Bacteriological contamination of cosmetics which may cause a skin infection</t>
  </si>
  <si>
    <t>Noise</t>
  </si>
  <si>
    <t>Ring tones from toy mobile phones that are much too loud and can damage children’s hearing capacity;</t>
  </si>
  <si>
    <t>Other</t>
  </si>
  <si>
    <t>Explosion, implosion, sonic and ultrasonic pressure, fluid pressure, or radiation from laser sources.</t>
  </si>
  <si>
    <t xml:space="preserve">Modified risk matrix with jump in risk level removed for consideration </t>
  </si>
  <si>
    <t>Probability of harm over lifetime of product (percentage and decimal value)</t>
  </si>
  <si>
    <t>Severity of harm</t>
  </si>
  <si>
    <t>Level 1</t>
  </si>
  <si>
    <t>Level 2</t>
  </si>
  <si>
    <t>Level 3</t>
  </si>
  <si>
    <t>Level 4</t>
  </si>
  <si>
    <t>&gt;50%</t>
  </si>
  <si>
    <t>&gt;.5</t>
  </si>
  <si>
    <t>High risk</t>
  </si>
  <si>
    <t>Serious risk</t>
  </si>
  <si>
    <t>&gt;1 in 10</t>
  </si>
  <si>
    <t>&gt;0.1</t>
  </si>
  <si>
    <t>&gt;1 in 100</t>
  </si>
  <si>
    <t>&gt;0.01</t>
  </si>
  <si>
    <t>&gt;1 in 1000</t>
  </si>
  <si>
    <t>&gt;0.001</t>
  </si>
  <si>
    <t>Medium risk</t>
  </si>
  <si>
    <t>&gt;1 in 10,000</t>
  </si>
  <si>
    <t>&gt;0.0001</t>
  </si>
  <si>
    <t>Low risk</t>
  </si>
  <si>
    <t>&gt;1 in 100,000</t>
  </si>
  <si>
    <t>&gt;0.00001</t>
  </si>
  <si>
    <t>&gt;1 in 1,000,000</t>
  </si>
  <si>
    <t>&gt;0.000001</t>
  </si>
  <si>
    <t>&lt;1 in 1,000,000</t>
  </si>
  <si>
    <t>&lt;0.000001</t>
  </si>
  <si>
    <t>Childcare articles and children's equipment</t>
  </si>
  <si>
    <t>Select from list</t>
  </si>
  <si>
    <t xml:space="preserve">No  </t>
  </si>
  <si>
    <t>Some (limited) empirical evidence</t>
  </si>
  <si>
    <t>Solely judgement / estimation</t>
  </si>
  <si>
    <t xml:space="preserve">High uncertainty </t>
  </si>
  <si>
    <t>Yes, the ‘risk level plus’ label should be applied</t>
  </si>
  <si>
    <t>Yes, based on other evidence / information</t>
  </si>
  <si>
    <t>Risk level not likely to change when uncertainty taken into account</t>
  </si>
  <si>
    <t>Level 4: Injury or ill health that is, or could be, fatal, including brain death; consequences that affect reproduction or unborn children; severe loss of limbs and/or function, leading to more than approximately 10% of disability.</t>
  </si>
  <si>
    <t xml:space="preserve">Strong empirical evidence </t>
  </si>
  <si>
    <t>Risk level likely to change when uncertainty taken into account</t>
  </si>
  <si>
    <t xml:space="preserve">PRISM: Risk Evaluation </t>
  </si>
  <si>
    <t xml:space="preserve">1. Factors relating to the nature of the risk </t>
  </si>
  <si>
    <t>Is the product likely to become more or less prevalent?</t>
  </si>
  <si>
    <t>Prevalence expected to stay constant in foreseeable future</t>
  </si>
  <si>
    <t>Does the uncertainty level have implications for risk management decisions?</t>
  </si>
  <si>
    <t>Yes</t>
  </si>
  <si>
    <t>How does the risk level compare to that of comparable products?</t>
  </si>
  <si>
    <t>Risk appears to be higher than that of comparable products</t>
  </si>
  <si>
    <t>Is there potential for multiple casualties in a single incident?</t>
  </si>
  <si>
    <t>Is there a significant risk differential?</t>
  </si>
  <si>
    <t xml:space="preserve">Not applicable </t>
  </si>
  <si>
    <t xml:space="preserve">Are there people at increased risk? </t>
  </si>
  <si>
    <t>Is relevant action planned or underway by another MSA or other organisation?</t>
  </si>
  <si>
    <t>Not known</t>
  </si>
  <si>
    <t xml:space="preserve">Are there any other matters relating to the nature of the risk that should be flagged? </t>
  </si>
  <si>
    <t xml:space="preserve">Could the hazard cause other types of harm? (check all that apply) </t>
  </si>
  <si>
    <t>Damage to property</t>
  </si>
  <si>
    <t xml:space="preserve">Harm to the environment </t>
  </si>
  <si>
    <t>2. Factors relating to perception and tolerability of the risk</t>
  </si>
  <si>
    <t>Are there multiple potential causes of the same time type of harm as that assessed?</t>
  </si>
  <si>
    <t>Is this a low likelihood but high severity risk?</t>
  </si>
  <si>
    <t>Is there a risk to non-users?</t>
  </si>
  <si>
    <t>Risk of harm to non-users</t>
  </si>
  <si>
    <t>Is there a risk to vulnerable users?</t>
  </si>
  <si>
    <t>There is a risk to vulnerable users</t>
  </si>
  <si>
    <t>Is the risk associated with a defective protective product?</t>
  </si>
  <si>
    <t xml:space="preserve">The risk is associated with a defective protective product </t>
  </si>
  <si>
    <t>Can users control the risk?</t>
  </si>
  <si>
    <t xml:space="preserve">Users cannot exercise any control over the risk </t>
  </si>
  <si>
    <t>Will media reporting influence how the risk is perceived?</t>
  </si>
  <si>
    <t>Risk is subject to some media coverage</t>
  </si>
  <si>
    <t>Are there other matters that will influence the way the risk is perceived (free text)?</t>
  </si>
  <si>
    <t xml:space="preserve">1. Factors relating to the nature of the risk - outcome: </t>
  </si>
  <si>
    <t xml:space="preserve">Risk is not tolerable </t>
  </si>
  <si>
    <t>Upload completed PRISM toolkits to the Product Safety Database (PSD). 
Click here for the PSD sign-in page</t>
  </si>
  <si>
    <t>Column1</t>
  </si>
  <si>
    <t>Column2</t>
  </si>
  <si>
    <t>Product randomly selected - no safety or compliance concerns, but a potential supplier issue</t>
  </si>
  <si>
    <t xml:space="preserve">Complaint from a business- believed vexatious </t>
  </si>
  <si>
    <t>Product identified as part of exploratory project - no indication product is unsafe or non-compliant</t>
  </si>
  <si>
    <t>Single consumer complaint - no harm has occurred</t>
  </si>
  <si>
    <t>Visual inspection has identified a labelling or marking compliance issue, but a hazard hasn't been identified</t>
  </si>
  <si>
    <t>Product is similar to a product known to be unsafe or non-compliant</t>
  </si>
  <si>
    <t>from</t>
  </si>
  <si>
    <t>to</t>
  </si>
  <si>
    <t>Visual inspection reveals obvious safety issue (or confirmed by test report)</t>
  </si>
  <si>
    <t>always</t>
  </si>
  <si>
    <t>&gt;30</t>
  </si>
  <si>
    <t>Product identified as part of exploratory project and appears to be unsafe or has a compliance issue</t>
  </si>
  <si>
    <t>maybe</t>
  </si>
  <si>
    <t>&gt;16</t>
  </si>
  <si>
    <t>&lt;29</t>
  </si>
  <si>
    <t>Referral from a charity, organisation or other product safety interest group or expert</t>
  </si>
  <si>
    <t xml:space="preserve">unlikely </t>
  </si>
  <si>
    <t>&lt;16</t>
  </si>
  <si>
    <t xml:space="preserve">Referral from another authority (including national regulator) - product confirmed non-compliant in relation to labelling or traceability but a hazard hasn't been identified </t>
  </si>
  <si>
    <t>Referral from another authority (including national regulator) - product suspected to be unsafe, not confirmed</t>
  </si>
  <si>
    <t xml:space="preserve">Complaint from a business - believed reliable </t>
  </si>
  <si>
    <t xml:space="preserve">Prevalence </t>
  </si>
  <si>
    <t>Media interest, MP, Councillor or other political interest</t>
  </si>
  <si>
    <t>Score</t>
  </si>
  <si>
    <t>Number of hazards</t>
  </si>
  <si>
    <t>Multiple consumer complaints - risk of harm but no known incidents</t>
  </si>
  <si>
    <t>Rationale for product selection</t>
  </si>
  <si>
    <t xml:space="preserve">Level of harm </t>
  </si>
  <si>
    <t>Multiple consumer complaints - harms has occurred in more than 1 incident</t>
  </si>
  <si>
    <t>Probability of harm</t>
  </si>
  <si>
    <t xml:space="preserve">Select from drop-down list </t>
  </si>
  <si>
    <t xml:space="preserve">Overall score </t>
  </si>
  <si>
    <t>Total</t>
  </si>
  <si>
    <t>Labelling non-compliance only, no evidence of a safety issue</t>
  </si>
  <si>
    <t>The harm is linked to the labelling non-compliance</t>
  </si>
  <si>
    <t>There is more than one hazard associated with non-compliance, but only one is of significant concern</t>
  </si>
  <si>
    <t>There is more than one hazard associated with non-compliance and of significant concern</t>
  </si>
  <si>
    <t>The product won't cause direct harm - issue relates to labelling only</t>
  </si>
  <si>
    <t>Level 1: Injury or ill health that after basic treatment (first aid, normally not by a doctor) does not substantially hamper functioning or cause excessive pain; usually the consequences are completely reversible.</t>
  </si>
  <si>
    <t>Level 3: Injury or ill health that normally requires hospitalisation and will affect functioning for more than 6 months or lead to a permanent loss of function.</t>
  </si>
  <si>
    <t xml:space="preserve">Level 4: Injury or ill health that is, or could be, fatal, including brain death; consequences that affect reproduction or unborn children; severe loss of limbs and/or function, leading to more than approximately 10% of disability. </t>
  </si>
  <si>
    <t>Almost always - this will almost certainly occur</t>
  </si>
  <si>
    <t>Common - at least a 50% chance of occurring</t>
  </si>
  <si>
    <t>Select from drop-down list</t>
  </si>
  <si>
    <t>Often - at least a one in ten chance of this event occurring</t>
  </si>
  <si>
    <t>A hazard hasn't been identified so there is no obvious risk of harm to the user</t>
  </si>
  <si>
    <t>Unusual - but still very probable to occur in every 100 instances of use</t>
  </si>
  <si>
    <t>Almost entirely unlikely - whilst not impossible, this will almost certainly not occur  (&lt;1/1,000,000)</t>
  </si>
  <si>
    <t>Rare - probability of  occurrence once in a thousand instances of use</t>
  </si>
  <si>
    <t>Hardly ever - the event hardly ever occurs (&gt;1/1,000,000)</t>
  </si>
  <si>
    <t>Highly infrequent - it could happen, but only at a rate of 1 in 10,000</t>
  </si>
  <si>
    <t>Very rare - an extremely unlikely event (&gt;1/100,000)</t>
  </si>
  <si>
    <t>Hardly ever - whilst not impossible, it would only likely occur once in every 100,000 instances</t>
  </si>
  <si>
    <t>Rare - a highly unlikely event (&gt;1/10,000)</t>
  </si>
  <si>
    <t xml:space="preserve">Almost entirely unlikely - whilst not impossible, this will almost certainly not occur </t>
  </si>
  <si>
    <t>Occasional - it would not be surprising if the event occurred (&gt;1/100)</t>
  </si>
  <si>
    <t>Often – a less than 50% chance, but still quite probable (&gt;1/10)</t>
  </si>
  <si>
    <t>Common – a greater than 50% chance (&gt;50%)</t>
  </si>
  <si>
    <t>This product won't cause a direct harm - the issue relates to labelling only</t>
  </si>
  <si>
    <t xml:space="preserve">It is plausible this product could cause death </t>
  </si>
  <si>
    <t>Column3</t>
  </si>
  <si>
    <t>No risk</t>
  </si>
  <si>
    <t>Required</t>
  </si>
  <si>
    <t>Borderline - assessor's discretion</t>
  </si>
  <si>
    <t>One in ten</t>
  </si>
  <si>
    <t>Not required</t>
  </si>
  <si>
    <t>1/100</t>
  </si>
  <si>
    <t>Labelling issue</t>
  </si>
  <si>
    <t>1/1000</t>
  </si>
  <si>
    <t xml:space="preserve">Select from drop down lists </t>
  </si>
  <si>
    <t>1/10000</t>
  </si>
  <si>
    <t>1/100000</t>
  </si>
  <si>
    <t>1/1000000</t>
  </si>
  <si>
    <t>&lt;1/1000000</t>
  </si>
  <si>
    <t>Prevalence very high (&gt;500k items in use) and expected to remain so</t>
  </si>
  <si>
    <t xml:space="preserve">Thermal </t>
  </si>
  <si>
    <t>Prevalence high (&gt;100k items in use) and expected to remain so</t>
  </si>
  <si>
    <t>High to serious risk</t>
  </si>
  <si>
    <t>Prevalence high (&gt;100k items in use) but expected to fall in the short term</t>
  </si>
  <si>
    <t>Prevalence medium (10k – 100k items in use)</t>
  </si>
  <si>
    <t>Prevalence low (&lt;10k items in use) and expected to remain so</t>
  </si>
  <si>
    <t xml:space="preserve">More than one type of hazard identified </t>
  </si>
  <si>
    <t>Prevalence not known and insufficient information to estimate</t>
  </si>
  <si>
    <t>More than two types of hazards identified</t>
  </si>
  <si>
    <t xml:space="preserve">These options match the severity of injury scale in the Rapex model. </t>
  </si>
  <si>
    <t xml:space="preserve">You have already identified the hazard/s by way of the product selection. Taking each identified hazard in turn, consider the steps that need to occur for the hazard to result in an accident, concluding with how the accident results in injury. </t>
  </si>
  <si>
    <t xml:space="preserve">Select the most severe injury outcome from your proposed injury scenarios in the drop down list. </t>
  </si>
  <si>
    <t>No - The product is neither national, novel or contentious - LATS to lead</t>
  </si>
  <si>
    <t>Yes - Nationally Significant – resourcing and expertise needed to investigate is beyond the capacity of a local authority, there is a high level of public concern and national interest</t>
  </si>
  <si>
    <t>Tips for developing the injury scenario:</t>
  </si>
  <si>
    <t>Yes - Novel – the risks of the usage of a product are unknown and unquantified</t>
  </si>
  <si>
    <t>Yes - Contentious – instances in which a single, centrally delivered answer is required to minimise the potential for dispute between industry, regulator and other stakeholders</t>
  </si>
  <si>
    <t>Assessing how consumers might interact with a product</t>
  </si>
  <si>
    <t xml:space="preserve">Think about who is the intended user and who might foreseeably have access to the product? Will the latter be as familiar with how they should engage with the product? </t>
  </si>
  <si>
    <t>Might they be vulnerable and how will this have an effect on how they interact with the product?</t>
  </si>
  <si>
    <t>Yes - but there wasn't the time/resource to investigate</t>
  </si>
  <si>
    <t>What is the intended use, conversely, the reasonably misuse? Are there safeguards to mitigate hazards in either scenario?</t>
  </si>
  <si>
    <t>Yes, but the risk didn't seem as great. Some follow up maybe required.</t>
  </si>
  <si>
    <t>How would frequency of use impact the product?</t>
  </si>
  <si>
    <t>Yes, but unable to ascertain risk as outside of expertise. Follow up required.</t>
  </si>
  <si>
    <t>Is the hazard recognisable? Would a consumer know to take preventative measures?</t>
  </si>
  <si>
    <t>Yes, but the risk didn't seem as great and follow up is unlikely to be required.</t>
  </si>
  <si>
    <t>How might the consumer behave in the event of an incident?</t>
  </si>
  <si>
    <t xml:space="preserve">No other products of concern but concerns held in relation to product safety due diligence. </t>
  </si>
  <si>
    <t>No other products of concern. With the exception of the identified products, no product safety due diligence concern.</t>
  </si>
  <si>
    <t>Start with the obvious</t>
  </si>
  <si>
    <t xml:space="preserve">Start with a scenario with the consumer for whom the product is intended where the consumer uses the product as per the instructions, or according to normal handling and use. This may result in an overall outcome that suggests you should carry out a full risk assessment. If it does not, you may wish to screen the product for risks from the point of view of an unintended user, deviations from normal use, use of product in unfavourable conditions etc. </t>
  </si>
  <si>
    <t xml:space="preserve">Yes, this is a tolerable risk. No further action at this time. </t>
  </si>
  <si>
    <t xml:space="preserve">No, this risk is not tolerable because of the severity of injury and further action should be considered. </t>
  </si>
  <si>
    <t>No, this risk is not tolerable because of the probability of occurrence and further action should be considered.</t>
  </si>
  <si>
    <t xml:space="preserve">No, this risk is not tolerable because of the type of user that might be harmed, or the context of the harm scenario and further action should be considered. </t>
  </si>
  <si>
    <t xml:space="preserve">No, this risk is not tolerable for another reason and further action should be considered. </t>
  </si>
  <si>
    <t xml:space="preserve">Select from list </t>
  </si>
  <si>
    <t>Personal protective equipment</t>
  </si>
  <si>
    <t>Low</t>
  </si>
  <si>
    <t>No, the hazard creating the greatest risk sufficiently reflects the overall product risk</t>
  </si>
  <si>
    <t>Overall risk presented</t>
  </si>
  <si>
    <t>Risk is tolerable</t>
  </si>
  <si>
    <t xml:space="preserve">There are no factors other than the risk level to take account of in relation to risk management decisions
</t>
  </si>
  <si>
    <t>No, insufficient information available to make a reasonable estimate</t>
  </si>
  <si>
    <t>&lt;1k</t>
  </si>
  <si>
    <t>Estimation</t>
  </si>
  <si>
    <t>Low uncertainty</t>
  </si>
  <si>
    <t>Low uncertainty overall</t>
  </si>
  <si>
    <t>Sensitivity analysis not performed</t>
  </si>
  <si>
    <t>No</t>
  </si>
  <si>
    <t>Not applicable</t>
  </si>
  <si>
    <t xml:space="preserve">Hand sanitiser </t>
  </si>
  <si>
    <t>Size and shape</t>
  </si>
  <si>
    <t>Medium</t>
  </si>
  <si>
    <t>Yes, the combined probabilities of the hazards indicate a higher level of risk</t>
  </si>
  <si>
    <t>Shape of the risk</t>
  </si>
  <si>
    <t xml:space="preserve">There are factors in addition to the risk level that need to be taken account of in relation to risk management decisions
</t>
  </si>
  <si>
    <t>Yes, based on information provided by the business</t>
  </si>
  <si>
    <t>&gt;1k - 10k</t>
  </si>
  <si>
    <t>Confirmed by supplier</t>
  </si>
  <si>
    <t>Medium uncertainty</t>
  </si>
  <si>
    <t>Prevalence expected to increase</t>
  </si>
  <si>
    <t>Uncertainty in relation to severity level</t>
  </si>
  <si>
    <t>Environment</t>
  </si>
  <si>
    <t>Risk appears to be lower than that of comparable products</t>
  </si>
  <si>
    <t>Low risk product with other hazards associated with the product</t>
  </si>
  <si>
    <t>The product has a high severity low likelihood risk/s</t>
  </si>
  <si>
    <t>Chemical products</t>
  </si>
  <si>
    <t>High</t>
  </si>
  <si>
    <t>Risks to non-users</t>
  </si>
  <si>
    <t>&gt;10k - 50k</t>
  </si>
  <si>
    <t xml:space="preserve">Prevalence expected to fall </t>
  </si>
  <si>
    <t>Uncertainty in relation to probability of harm</t>
  </si>
  <si>
    <t xml:space="preserve">Animals </t>
  </si>
  <si>
    <t>Risk appears to be similar to that of comparable products</t>
  </si>
  <si>
    <t>Unrelated causes of the same type of harm</t>
  </si>
  <si>
    <t>Users can exercise some control over the risk</t>
  </si>
  <si>
    <t>Risk is subject to extensive media coverage</t>
  </si>
  <si>
    <t>Severity of harm level</t>
  </si>
  <si>
    <t>Fire and explosion</t>
  </si>
  <si>
    <t>Risks to vulnerable users (people at increased risk)</t>
  </si>
  <si>
    <t>&gt;50k - 100k</t>
  </si>
  <si>
    <t xml:space="preserve">Not known </t>
  </si>
  <si>
    <t>Uncertainty in relation to severity level and probability of harm</t>
  </si>
  <si>
    <t>Property</t>
  </si>
  <si>
    <t>Prob</t>
  </si>
  <si>
    <t>Clothing, textiles, and fashion items</t>
  </si>
  <si>
    <t>Risks associated with defective products that are designed to provide a protective function</t>
  </si>
  <si>
    <t>&gt;100k - 500k</t>
  </si>
  <si>
    <t xml:space="preserve">Other </t>
  </si>
  <si>
    <t>&gt;=</t>
  </si>
  <si>
    <t>Communication and media equipment</t>
  </si>
  <si>
    <t>&gt;5</t>
  </si>
  <si>
    <t>Ergonomic</t>
  </si>
  <si>
    <t>Media influence and/or public perception</t>
  </si>
  <si>
    <t>&gt;500k - 1m</t>
  </si>
  <si>
    <t>Construction products</t>
  </si>
  <si>
    <t>Noise and vibration</t>
  </si>
  <si>
    <t xml:space="preserve">&gt;1m </t>
  </si>
  <si>
    <t>Cosmetics</t>
  </si>
  <si>
    <t>Decorative articles</t>
  </si>
  <si>
    <t>Electrical appliances and equipment</t>
  </si>
  <si>
    <t>Lack of protection</t>
  </si>
  <si>
    <t>Food-imitating products</t>
  </si>
  <si>
    <t>Furniture</t>
  </si>
  <si>
    <t>Gadgets</t>
  </si>
  <si>
    <t>Gas appliances and components</t>
  </si>
  <si>
    <t>Change from left table to right:</t>
  </si>
  <si>
    <t>Hand tools</t>
  </si>
  <si>
    <t>&gt; Order reversed so in ascending order</t>
  </si>
  <si>
    <t>Hobby / sports equipment</t>
  </si>
  <si>
    <t>&gt; Lowest figure changed from &lt;0.000001 to &gt;0</t>
  </si>
  <si>
    <t>Jewellery</t>
  </si>
  <si>
    <t>&gt; All changed to more than or equal too</t>
  </si>
  <si>
    <t>Kitchen / cooking accessories</t>
  </si>
  <si>
    <t>&gt; Numbers put after risk level to help with checking that the formulae are working correctly e.g. Low risk4. Numbers can be removed later</t>
  </si>
  <si>
    <t>Laser pointers</t>
  </si>
  <si>
    <t xml:space="preserve">Product prevalence </t>
  </si>
  <si>
    <t>Lighters</t>
  </si>
  <si>
    <t>Lighting equipment</t>
  </si>
  <si>
    <t>Pressure equipment / vessels</t>
  </si>
  <si>
    <t>Stationery</t>
  </si>
  <si>
    <t>Toys</t>
  </si>
  <si>
    <t xml:space="preserve">High risk </t>
  </si>
  <si>
    <t xml:space="preserve">Leave numbers after risk level until Lucky has checked the logic. All other rules/logic followed as above. </t>
  </si>
  <si>
    <t>2. Risk tolerability - outcome:</t>
  </si>
  <si>
    <t xml:space="preserve">Psychological harm </t>
  </si>
  <si>
    <t xml:space="preserve">Harm to animals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</si>
</sst>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8"/>
      <name val="Calibri"/>
      <family val="2"/>
      <scheme val="minor"/>
    </font>
    <font>
      <b/>
      <sz val="11"/>
      <color theme="1"/>
      <name val="Calibri"/>
      <family val="2"/>
      <scheme val="minor"/>
    </font>
    <font>
      <sz val="11"/>
      <color rgb="FF000000"/>
      <name val="Calibri"/>
      <family val="2"/>
    </font>
    <font>
      <b/>
      <sz val="10"/>
      <color theme="1"/>
      <name val="Calibri"/>
      <family val="2"/>
      <scheme val="minor"/>
    </font>
    <font>
      <sz val="10"/>
      <color theme="1"/>
      <name val="Calibri"/>
      <family val="2"/>
      <scheme val="minor"/>
    </font>
    <font>
      <sz val="10"/>
      <color rgb="FF000000"/>
      <name val="Calibri"/>
      <family val="2"/>
      <scheme val="minor"/>
    </font>
    <font>
      <b/>
      <sz val="20"/>
      <color theme="1"/>
      <name val="Calibri"/>
      <family val="2"/>
      <scheme val="minor"/>
    </font>
    <font>
      <sz val="11"/>
      <color rgb="FFFF0000"/>
      <name val="Calibri"/>
      <family val="2"/>
      <scheme val="minor"/>
    </font>
    <font>
      <sz val="11"/>
      <color rgb="FF9966FF"/>
      <name val="Calibri"/>
      <family val="2"/>
      <scheme val="minor"/>
    </font>
    <font>
      <sz val="11"/>
      <color theme="1"/>
      <name val="Calibri"/>
      <family val="2"/>
    </font>
    <font>
      <b/>
      <sz val="12"/>
      <color theme="0"/>
      <name val="Calibri"/>
      <family val="2"/>
    </font>
    <font>
      <b/>
      <sz val="16"/>
      <color theme="0"/>
      <name val="Calibri"/>
      <family val="2"/>
    </font>
    <font>
      <u/>
      <sz val="11"/>
      <color theme="10"/>
      <name val="Calibri"/>
      <family val="2"/>
      <scheme val="minor"/>
    </font>
    <font>
      <sz val="12"/>
      <color theme="1"/>
      <name val="Calibri"/>
      <family val="2"/>
      <scheme val="minor"/>
    </font>
    <font>
      <b/>
      <sz val="12"/>
      <color theme="1"/>
      <name val="Calibri"/>
      <family val="2"/>
      <scheme val="minor"/>
    </font>
    <font>
      <b/>
      <sz val="12"/>
      <color rgb="FF000000"/>
      <name val="Calibri"/>
      <family val="2"/>
    </font>
    <font>
      <b/>
      <sz val="12"/>
      <color theme="1"/>
      <name val="Calibri"/>
      <family val="2"/>
    </font>
    <font>
      <sz val="11"/>
      <color rgb="FF305496"/>
      <name val="Calibri"/>
      <family val="2"/>
    </font>
    <font>
      <b/>
      <u/>
      <sz val="12"/>
      <color theme="10"/>
      <name val="Calibri"/>
      <family val="2"/>
      <scheme val="minor"/>
    </font>
    <font>
      <sz val="12"/>
      <color rgb="FF000000"/>
      <name val="Calibri"/>
      <family val="2"/>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rgb="FFFFFF00"/>
        <bgColor indexed="64"/>
      </patternFill>
    </fill>
    <fill>
      <patternFill patternType="solid">
        <fgColor theme="0"/>
        <bgColor indexed="64"/>
      </patternFill>
    </fill>
    <fill>
      <patternFill patternType="solid">
        <fgColor rgb="FFE36C0A"/>
        <bgColor indexed="64"/>
      </patternFill>
    </fill>
    <fill>
      <patternFill patternType="solid">
        <fgColor rgb="FFFF0000"/>
        <bgColor indexed="64"/>
      </patternFill>
    </fill>
    <fill>
      <patternFill patternType="solid">
        <fgColor rgb="FFED7D31"/>
        <bgColor indexed="64"/>
      </patternFill>
    </fill>
    <fill>
      <patternFill patternType="solid">
        <fgColor rgb="FFFFC000"/>
        <bgColor indexed="64"/>
      </patternFill>
    </fill>
    <fill>
      <patternFill patternType="solid">
        <fgColor rgb="FF92D050"/>
        <bgColor indexed="64"/>
      </patternFill>
    </fill>
    <fill>
      <patternFill patternType="solid">
        <fgColor rgb="FF004A7F"/>
        <bgColor indexed="64"/>
      </patternFill>
    </fill>
    <fill>
      <patternFill patternType="solid">
        <fgColor rgb="FFB8C6DD"/>
        <bgColor indexed="64"/>
      </patternFill>
    </fill>
    <fill>
      <patternFill patternType="solid">
        <fgColor rgb="FF73B72B"/>
        <bgColor indexed="64"/>
      </patternFill>
    </fill>
    <fill>
      <patternFill patternType="solid">
        <fgColor rgb="FFD9E1F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theme="4" tint="0.39997558519241921"/>
      </left>
      <right/>
      <top style="thin">
        <color theme="4" tint="0.39997558519241921"/>
      </top>
      <bottom style="thin">
        <color theme="4" tint="0.3999755851924192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s>
  <cellStyleXfs count="2">
    <xf numFmtId="0" fontId="0" fillId="0" borderId="0"/>
    <xf numFmtId="0" fontId="13" fillId="0" borderId="0" applyNumberFormat="0" applyFill="0" applyBorder="0" applyAlignment="0" applyProtection="0"/>
  </cellStyleXfs>
  <cellXfs count="100">
    <xf numFmtId="0" fontId="0" fillId="0" borderId="0" xfId="0"/>
    <xf numFmtId="0" fontId="2" fillId="0" borderId="0" xfId="0" applyFont="1" applyAlignment="1">
      <alignment vertical="center" wrapText="1"/>
    </xf>
    <xf numFmtId="0" fontId="0" fillId="0" borderId="0" xfId="0" applyProtection="1">
      <protection hidden="1"/>
    </xf>
    <xf numFmtId="0" fontId="0" fillId="0" borderId="1" xfId="0" applyBorder="1" applyProtection="1">
      <protection hidden="1"/>
    </xf>
    <xf numFmtId="0" fontId="0" fillId="0" borderId="2" xfId="0" applyBorder="1" applyAlignment="1" applyProtection="1">
      <alignment horizontal="left" vertical="center"/>
      <protection hidden="1"/>
    </xf>
    <xf numFmtId="0" fontId="0" fillId="0" borderId="1" xfId="0" applyBorder="1" applyAlignment="1" applyProtection="1">
      <alignment horizontal="right" vertical="center"/>
      <protection hidden="1"/>
    </xf>
    <xf numFmtId="0" fontId="0" fillId="0" borderId="2" xfId="0" applyBorder="1" applyProtection="1">
      <protection hidden="1"/>
    </xf>
    <xf numFmtId="0" fontId="18" fillId="0" borderId="0" xfId="0" applyFont="1" applyAlignment="1" applyProtection="1">
      <alignment vertical="center"/>
      <protection hidden="1"/>
    </xf>
    <xf numFmtId="0" fontId="18" fillId="16" borderId="0" xfId="0" applyFont="1" applyFill="1" applyAlignment="1" applyProtection="1">
      <alignment vertical="center"/>
      <protection hidden="1"/>
    </xf>
    <xf numFmtId="0" fontId="0" fillId="4" borderId="4" xfId="0" applyFill="1" applyBorder="1" applyProtection="1">
      <protection hidden="1"/>
    </xf>
    <xf numFmtId="0" fontId="0" fillId="0" borderId="4" xfId="0" applyBorder="1" applyProtection="1">
      <protection hidden="1"/>
    </xf>
    <xf numFmtId="0" fontId="8" fillId="0" borderId="0" xfId="0" applyFont="1" applyProtection="1">
      <protection hidden="1"/>
    </xf>
    <xf numFmtId="16" fontId="0" fillId="0" borderId="0" xfId="0" applyNumberFormat="1" applyProtection="1">
      <protection hidden="1"/>
    </xf>
    <xf numFmtId="0" fontId="0" fillId="0" borderId="4" xfId="0" applyBorder="1" applyAlignment="1" applyProtection="1">
      <alignment horizontal="left" vertical="center"/>
      <protection hidden="1"/>
    </xf>
    <xf numFmtId="0" fontId="0" fillId="4" borderId="4" xfId="0" applyFill="1"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Alignment="1" applyProtection="1">
      <alignment vertical="center" wrapText="1"/>
      <protection hidden="1"/>
    </xf>
    <xf numFmtId="0" fontId="0" fillId="0" borderId="0" xfId="0" applyAlignment="1" applyProtection="1">
      <alignment wrapText="1"/>
      <protection hidden="1"/>
    </xf>
    <xf numFmtId="0" fontId="2" fillId="0" borderId="0" xfId="0" applyFont="1" applyProtection="1">
      <protection hidden="1"/>
    </xf>
    <xf numFmtId="0" fontId="2" fillId="0" borderId="1" xfId="0" applyFont="1" applyBorder="1" applyProtection="1">
      <protection hidden="1"/>
    </xf>
    <xf numFmtId="0" fontId="0" fillId="6" borderId="1" xfId="0" applyFill="1" applyBorder="1" applyAlignment="1" applyProtection="1">
      <alignment horizontal="right"/>
      <protection hidden="1"/>
    </xf>
    <xf numFmtId="0" fontId="0" fillId="6" borderId="1" xfId="0" applyFill="1" applyBorder="1" applyProtection="1">
      <protection hidden="1"/>
    </xf>
    <xf numFmtId="0" fontId="0" fillId="0" borderId="0" xfId="0" applyAlignment="1" applyProtection="1">
      <alignment horizontal="right"/>
      <protection hidden="1"/>
    </xf>
    <xf numFmtId="0" fontId="0" fillId="0" borderId="1" xfId="0" applyBorder="1" applyAlignment="1" applyProtection="1">
      <alignment horizontal="right"/>
      <protection hidden="1"/>
    </xf>
    <xf numFmtId="0" fontId="9" fillId="0" borderId="0" xfId="0" applyFont="1" applyProtection="1">
      <protection hidden="1"/>
    </xf>
    <xf numFmtId="0" fontId="0" fillId="5" borderId="1" xfId="0" applyFill="1" applyBorder="1" applyProtection="1">
      <protection hidden="1"/>
    </xf>
    <xf numFmtId="3" fontId="0" fillId="0" borderId="1" xfId="0" applyNumberFormat="1" applyBorder="1" applyProtection="1">
      <protection hidden="1"/>
    </xf>
    <xf numFmtId="0" fontId="0" fillId="0" borderId="1" xfId="0" applyBorder="1" applyAlignment="1" applyProtection="1">
      <alignment wrapText="1"/>
      <protection hidden="1"/>
    </xf>
    <xf numFmtId="0" fontId="0" fillId="0" borderId="0" xfId="0" applyProtection="1">
      <protection locked="0"/>
    </xf>
    <xf numFmtId="0" fontId="14" fillId="0" borderId="0" xfId="0" applyFont="1"/>
    <xf numFmtId="0" fontId="0" fillId="0" borderId="10" xfId="0" applyBorder="1" applyAlignment="1">
      <alignment horizontal="center" vertical="center" wrapText="1"/>
    </xf>
    <xf numFmtId="0" fontId="0" fillId="0" borderId="7"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 xfId="0" applyBorder="1" applyAlignment="1">
      <alignment horizontal="center" vertical="center" wrapText="1"/>
    </xf>
    <xf numFmtId="0" fontId="6" fillId="11" borderId="1" xfId="0" applyFont="1" applyFill="1" applyBorder="1" applyAlignment="1">
      <alignment horizontal="center" vertical="center" wrapText="1"/>
    </xf>
    <xf numFmtId="0" fontId="6" fillId="12"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2" fillId="0" borderId="1" xfId="0" applyFont="1" applyBorder="1" applyAlignment="1">
      <alignment horizontal="center" vertical="center" wrapText="1"/>
    </xf>
    <xf numFmtId="0" fontId="5" fillId="0" borderId="1" xfId="0" applyFont="1" applyBorder="1" applyAlignment="1">
      <alignment horizontal="center" vertical="center" wrapText="1"/>
    </xf>
    <xf numFmtId="0" fontId="6" fillId="9" borderId="1" xfId="0" applyFont="1" applyFill="1" applyBorder="1" applyAlignment="1">
      <alignment horizontal="center" vertical="center" wrapText="1"/>
    </xf>
    <xf numFmtId="0" fontId="6" fillId="8" borderId="1"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0" fillId="0" borderId="3" xfId="0" applyBorder="1" applyAlignment="1">
      <alignment horizontal="left" wrapText="1"/>
    </xf>
    <xf numFmtId="0" fontId="0" fillId="0" borderId="0" xfId="0" applyAlignment="1">
      <alignment horizontal="left" wrapText="1"/>
    </xf>
    <xf numFmtId="0" fontId="0" fillId="3" borderId="3" xfId="0" applyFill="1" applyBorder="1" applyAlignment="1">
      <alignment horizontal="left" wrapText="1"/>
    </xf>
    <xf numFmtId="0" fontId="0" fillId="3" borderId="0" xfId="0" applyFill="1" applyAlignment="1">
      <alignment horizontal="left" wrapText="1"/>
    </xf>
    <xf numFmtId="0" fontId="0" fillId="2" borderId="3" xfId="0" applyFill="1" applyBorder="1" applyAlignment="1">
      <alignment horizontal="center" vertical="center" wrapText="1"/>
    </xf>
    <xf numFmtId="0" fontId="0" fillId="2" borderId="0" xfId="0" applyFill="1" applyAlignment="1">
      <alignment horizontal="center" vertical="center" wrapText="1"/>
    </xf>
    <xf numFmtId="0" fontId="0" fillId="2" borderId="8" xfId="0" applyFill="1" applyBorder="1" applyAlignment="1">
      <alignment horizontal="center" vertical="center" wrapText="1"/>
    </xf>
    <xf numFmtId="0" fontId="2" fillId="2" borderId="3" xfId="0" applyFont="1" applyFill="1" applyBorder="1" applyAlignment="1">
      <alignment horizontal="center" wrapText="1"/>
    </xf>
    <xf numFmtId="0" fontId="2" fillId="2" borderId="0" xfId="0" applyFont="1" applyFill="1" applyAlignment="1">
      <alignment horizontal="center" wrapText="1"/>
    </xf>
    <xf numFmtId="0" fontId="2" fillId="2" borderId="3" xfId="0" applyFont="1" applyFill="1" applyBorder="1" applyAlignment="1">
      <alignment horizontal="center" vertical="center" wrapText="1"/>
    </xf>
    <xf numFmtId="0" fontId="2" fillId="2" borderId="0" xfId="0" applyFont="1" applyFill="1" applyAlignment="1">
      <alignment horizontal="center" vertical="center" wrapText="1"/>
    </xf>
    <xf numFmtId="0" fontId="2" fillId="2" borderId="8" xfId="0" applyFont="1" applyFill="1" applyBorder="1" applyAlignment="1">
      <alignment horizontal="center" vertical="center" wrapText="1"/>
    </xf>
    <xf numFmtId="0" fontId="16" fillId="14" borderId="2" xfId="0" applyFont="1" applyFill="1" applyBorder="1" applyAlignment="1">
      <alignment horizontal="left" vertical="center" wrapText="1"/>
    </xf>
    <xf numFmtId="0" fontId="16" fillId="14" borderId="6" xfId="0" applyFont="1" applyFill="1" applyBorder="1" applyAlignment="1">
      <alignment horizontal="left" vertical="center" wrapText="1"/>
    </xf>
    <xf numFmtId="0" fontId="16" fillId="14" borderId="5" xfId="0" applyFont="1" applyFill="1" applyBorder="1" applyAlignment="1">
      <alignment horizontal="left" vertical="center" wrapText="1"/>
    </xf>
    <xf numFmtId="0" fontId="3" fillId="0" borderId="2" xfId="0"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1" xfId="0" applyBorder="1" applyAlignment="1" applyProtection="1">
      <alignment horizontal="center" vertical="center" wrapText="1"/>
      <protection locked="0"/>
    </xf>
    <xf numFmtId="0" fontId="15" fillId="14" borderId="2" xfId="0" applyFont="1" applyFill="1" applyBorder="1" applyAlignment="1">
      <alignment horizontal="left" vertical="center" wrapText="1"/>
    </xf>
    <xf numFmtId="0" fontId="15" fillId="14" borderId="6" xfId="0" applyFont="1" applyFill="1" applyBorder="1" applyAlignment="1">
      <alignment horizontal="left" vertical="center" wrapText="1"/>
    </xf>
    <xf numFmtId="0" fontId="15" fillId="14" borderId="5" xfId="0" applyFont="1" applyFill="1" applyBorder="1" applyAlignment="1">
      <alignment horizontal="left" vertical="center" wrapText="1"/>
    </xf>
    <xf numFmtId="0" fontId="15" fillId="14" borderId="1" xfId="0" applyFont="1" applyFill="1" applyBorder="1" applyAlignment="1">
      <alignment horizontal="left" vertical="center" wrapText="1"/>
    </xf>
    <xf numFmtId="0" fontId="10" fillId="7" borderId="6" xfId="0" applyFont="1" applyFill="1" applyBorder="1" applyAlignment="1" applyProtection="1">
      <alignment horizontal="center" vertical="center" wrapText="1"/>
      <protection locked="0"/>
    </xf>
    <xf numFmtId="0" fontId="10" fillId="7" borderId="5" xfId="0" applyFont="1" applyFill="1" applyBorder="1" applyAlignment="1" applyProtection="1">
      <alignment horizontal="center" vertical="center" wrapText="1"/>
      <protection locked="0"/>
    </xf>
    <xf numFmtId="0" fontId="10" fillId="7" borderId="1" xfId="0" applyFont="1" applyFill="1" applyBorder="1" applyAlignment="1" applyProtection="1">
      <alignment horizontal="center" vertical="center" wrapText="1"/>
      <protection locked="0"/>
    </xf>
    <xf numFmtId="0" fontId="17" fillId="14" borderId="2" xfId="0" applyFont="1" applyFill="1" applyBorder="1" applyAlignment="1">
      <alignment horizontal="left" vertical="center" wrapText="1"/>
    </xf>
    <xf numFmtId="0" fontId="17" fillId="14" borderId="5" xfId="0" applyFont="1" applyFill="1" applyBorder="1" applyAlignment="1">
      <alignment horizontal="left" vertical="center" wrapText="1"/>
    </xf>
    <xf numFmtId="0" fontId="12" fillId="13" borderId="2" xfId="0" applyFont="1" applyFill="1" applyBorder="1" applyAlignment="1" applyProtection="1">
      <alignment horizontal="center" vertical="center" wrapText="1"/>
      <protection locked="0"/>
    </xf>
    <xf numFmtId="0" fontId="12" fillId="13" borderId="6" xfId="0" applyFont="1" applyFill="1" applyBorder="1" applyAlignment="1" applyProtection="1">
      <alignment horizontal="center" vertical="center" wrapText="1"/>
      <protection locked="0"/>
    </xf>
    <xf numFmtId="0" fontId="12" fillId="13" borderId="5" xfId="0" applyFont="1" applyFill="1" applyBorder="1" applyAlignment="1" applyProtection="1">
      <alignment horizontal="center" vertical="center" wrapText="1"/>
      <protection locked="0"/>
    </xf>
    <xf numFmtId="0" fontId="16" fillId="5" borderId="9" xfId="0" applyFont="1" applyFill="1" applyBorder="1" applyAlignment="1">
      <alignment horizontal="left" vertical="center" wrapText="1"/>
    </xf>
    <xf numFmtId="0" fontId="16" fillId="5" borderId="7" xfId="0" applyFont="1" applyFill="1" applyBorder="1" applyAlignment="1">
      <alignment horizontal="left" vertical="center" wrapText="1"/>
    </xf>
    <xf numFmtId="0" fontId="16" fillId="5" borderId="13" xfId="0" applyFont="1" applyFill="1" applyBorder="1" applyAlignment="1">
      <alignment horizontal="left" vertical="center" wrapText="1"/>
    </xf>
    <xf numFmtId="0" fontId="16" fillId="5" borderId="12" xfId="0" applyFont="1" applyFill="1" applyBorder="1" applyAlignment="1">
      <alignment horizontal="left" vertical="center" wrapText="1"/>
    </xf>
    <xf numFmtId="0" fontId="20" fillId="0" borderId="0" xfId="0" applyFont="1" applyAlignment="1">
      <alignment horizontal="left" vertical="center" wrapText="1"/>
    </xf>
    <xf numFmtId="0" fontId="0" fillId="0" borderId="9"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8" xfId="0" applyBorder="1" applyAlignment="1">
      <alignment horizontal="left" vertical="center"/>
    </xf>
    <xf numFmtId="0" fontId="7" fillId="0" borderId="13" xfId="0" applyFont="1" applyBorder="1" applyAlignment="1">
      <alignment horizontal="center" vertical="center"/>
    </xf>
    <xf numFmtId="0" fontId="17" fillId="14" borderId="1" xfId="0" applyFont="1" applyFill="1" applyBorder="1" applyAlignment="1">
      <alignment horizontal="left" vertical="center" wrapText="1"/>
    </xf>
    <xf numFmtId="0" fontId="11" fillId="13" borderId="1" xfId="0" applyFont="1" applyFill="1" applyBorder="1" applyAlignment="1">
      <alignment horizontal="center" vertical="center" wrapText="1"/>
    </xf>
    <xf numFmtId="0" fontId="19" fillId="15" borderId="1" xfId="1" applyFont="1" applyFill="1" applyBorder="1" applyAlignment="1" applyProtection="1">
      <alignment horizontal="center" vertical="center" wrapText="1"/>
    </xf>
    <xf numFmtId="0" fontId="19" fillId="15" borderId="1" xfId="1" applyFont="1" applyFill="1" applyBorder="1" applyAlignment="1" applyProtection="1">
      <alignment horizontal="center" vertical="center"/>
    </xf>
    <xf numFmtId="0" fontId="3" fillId="7" borderId="2" xfId="0" applyFont="1" applyFill="1" applyBorder="1" applyAlignment="1" applyProtection="1">
      <alignment horizontal="center" vertical="center" wrapText="1"/>
      <protection locked="0"/>
    </xf>
    <xf numFmtId="0" fontId="3" fillId="7" borderId="6" xfId="0" applyFont="1" applyFill="1" applyBorder="1" applyAlignment="1" applyProtection="1">
      <alignment horizontal="center" vertical="center" wrapText="1"/>
      <protection locked="0"/>
    </xf>
    <xf numFmtId="0" fontId="3" fillId="7" borderId="5" xfId="0" applyFont="1" applyFill="1" applyBorder="1" applyAlignment="1" applyProtection="1">
      <alignment horizontal="center" vertical="center" wrapText="1"/>
      <protection locked="0"/>
    </xf>
    <xf numFmtId="0" fontId="17" fillId="14" borderId="6" xfId="0" applyFont="1" applyFill="1" applyBorder="1" applyAlignment="1">
      <alignment horizontal="left" vertical="center" wrapText="1"/>
    </xf>
    <xf numFmtId="0" fontId="12" fillId="13" borderId="10" xfId="0" applyFont="1" applyFill="1" applyBorder="1" applyAlignment="1">
      <alignment horizontal="center" vertical="center" wrapText="1"/>
    </xf>
    <xf numFmtId="0" fontId="12" fillId="13" borderId="9" xfId="0" applyFont="1" applyFill="1" applyBorder="1" applyAlignment="1">
      <alignment horizontal="center" vertical="center" wrapText="1"/>
    </xf>
    <xf numFmtId="0" fontId="12" fillId="13" borderId="0" xfId="0" applyFont="1" applyFill="1" applyAlignment="1">
      <alignment horizontal="center" vertical="center" wrapText="1"/>
    </xf>
    <xf numFmtId="0" fontId="12" fillId="13" borderId="8" xfId="0" applyFont="1" applyFill="1" applyBorder="1" applyAlignment="1">
      <alignment horizontal="center" vertical="center" wrapText="1"/>
    </xf>
    <xf numFmtId="0" fontId="0" fillId="0" borderId="0" xfId="0" applyAlignment="1" applyProtection="1">
      <alignment horizontal="center"/>
      <protection hidden="1"/>
    </xf>
  </cellXfs>
  <cellStyles count="2">
    <cellStyle name="Hyperlink" xfId="1" builtinId="8"/>
    <cellStyle name="Normal" xfId="0" builtinId="0"/>
  </cellStyles>
  <dxfs count="37">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s>
  <tableStyles count="0" defaultTableStyle="TableStyleMedium2" defaultPivotStyle="PivotStyleMedium9"/>
  <colors>
    <mruColors>
      <color rgb="FF004A7F"/>
      <color rgb="FFF9AE2D"/>
      <color rgb="FF73B72B"/>
      <color rgb="FFB8C6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279400</xdr:colOff>
          <xdr:row>7</xdr:row>
          <xdr:rowOff>38100</xdr:rowOff>
        </xdr:from>
        <xdr:to>
          <xdr:col>6</xdr:col>
          <xdr:colOff>38100</xdr:colOff>
          <xdr:row>7</xdr:row>
          <xdr:rowOff>266700</xdr:rowOff>
        </xdr:to>
        <xdr:sp macro="" textlink="">
          <xdr:nvSpPr>
            <xdr:cNvPr id="11269" name="Check Box 5" hidden="1">
              <a:extLst>
                <a:ext uri="{63B3BB69-23CF-44E3-9099-C40C66FF867C}">
                  <a14:compatExt spid="_x0000_s11269"/>
                </a:ext>
                <a:ext uri="{FF2B5EF4-FFF2-40B4-BE49-F238E27FC236}">
                  <a16:creationId xmlns:a16="http://schemas.microsoft.com/office/drawing/2014/main" id="{00000000-0008-0000-0500-000005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8</xdr:row>
          <xdr:rowOff>12700</xdr:rowOff>
        </xdr:from>
        <xdr:to>
          <xdr:col>10</xdr:col>
          <xdr:colOff>279400</xdr:colOff>
          <xdr:row>8</xdr:row>
          <xdr:rowOff>228600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500-000007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7</xdr:row>
          <xdr:rowOff>38100</xdr:rowOff>
        </xdr:from>
        <xdr:to>
          <xdr:col>10</xdr:col>
          <xdr:colOff>419100</xdr:colOff>
          <xdr:row>7</xdr:row>
          <xdr:rowOff>279400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500-00000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3</xdr:col>
      <xdr:colOff>161864</xdr:colOff>
      <xdr:row>1</xdr:row>
      <xdr:rowOff>713129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0" y="0"/>
          <a:ext cx="1986695" cy="903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292100</xdr:colOff>
          <xdr:row>8</xdr:row>
          <xdr:rowOff>0</xdr:rowOff>
        </xdr:from>
        <xdr:to>
          <xdr:col>6</xdr:col>
          <xdr:colOff>38100</xdr:colOff>
          <xdr:row>8</xdr:row>
          <xdr:rowOff>241300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500-00000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34BECC-E15B-4B04-A66A-A62250992175}" name="Table1" displayName="Table1" ref="A1:B19" totalsRowShown="0" headerRowDxfId="36" dataDxfId="35">
  <autoFilter ref="A1:B19" xr:uid="{B3437E86-7DC8-421B-B9B8-EC440964D189}"/>
  <tableColumns count="2">
    <tableColumn id="1" xr3:uid="{0297E681-3626-4267-83CA-6170CBB6C394}" name="Column1" dataDxfId="34"/>
    <tableColumn id="2" xr3:uid="{146A652F-F4B7-4873-A273-2B33A21531B3}" name="Column2"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8338F4E-22AF-4302-8A24-88FE748EE717}" name="Table2" displayName="Table2" ref="A33:B39" totalsRowShown="0" headerRowDxfId="32" dataDxfId="31">
  <autoFilter ref="A33:B39" xr:uid="{8928ABF2-6264-4D19-B1EA-E5AEA1023A93}"/>
  <tableColumns count="2">
    <tableColumn id="1" xr3:uid="{B4A01D55-A3F9-4B34-80CE-16E020D97FFE}" name="Column1" dataDxfId="30"/>
    <tableColumn id="2" xr3:uid="{64EBCDB7-198B-4D27-B3BA-21E511895B82}" name="Column2" dataDxfId="2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BF81DA-BD9D-4458-BF1B-869FCF827CCF}" name="Table3" displayName="Table3" ref="A41:B51" totalsRowShown="0" headerRowDxfId="28" dataDxfId="27">
  <autoFilter ref="A41:B51" xr:uid="{2328A2D1-0659-460D-B95D-896A1932324E}"/>
  <tableColumns count="2">
    <tableColumn id="1" xr3:uid="{BBA6F0D5-BEBF-4D43-AA59-1C9090B9E884}" name="Column1" dataDxfId="26"/>
    <tableColumn id="2" xr3:uid="{EC025CF5-6FD6-4B26-9E4C-8129DA8E805E}" name="Column2" dataDxfId="2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5801F60-F04F-48C2-BB3B-10EF3304DFC9}" name="Table6" displayName="Table6" ref="A52:C57" totalsRowShown="0" headerRowDxfId="24" dataDxfId="23">
  <autoFilter ref="A52:C57" xr:uid="{FC41BBA5-A097-45C8-878A-A2B9F61E830D}"/>
  <tableColumns count="3">
    <tableColumn id="1" xr3:uid="{1CCBD11A-E292-4B6B-91CE-0F70E02BB74D}" name="Column1" dataDxfId="22"/>
    <tableColumn id="2" xr3:uid="{993E9A00-2BA4-4BF4-A579-C7CEFFC0EC29}" name="Column2" dataDxfId="21"/>
    <tableColumn id="3" xr3:uid="{5D703838-0315-4165-8245-96865A9245C1}" name="Column3"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E074E5F-67C9-4573-83EB-96D653A2C506}" name="Table4" displayName="Table4" ref="A60:A73" totalsRowShown="0" headerRowDxfId="19" dataDxfId="18">
  <autoFilter ref="A60:A73" xr:uid="{4F8A6FB8-49FD-4AD8-B1BC-8B7D49CFFF37}"/>
  <tableColumns count="1">
    <tableColumn id="1" xr3:uid="{9D6E9C37-778C-4249-9630-B25D52A48087}" name="Column1" dataDxfId="1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E4E24C-D9AE-41AA-AF01-B2DFEA4B0873}" name="Table5" displayName="Table5" ref="A75:B82" totalsRowShown="0" headerRowDxfId="16" dataDxfId="15">
  <autoFilter ref="A75:B82" xr:uid="{6A23F946-7166-49E4-AA8F-E7FCA9D90A09}"/>
  <tableColumns count="2">
    <tableColumn id="1" xr3:uid="{05C83B31-FA11-4E75-9663-19CC1303829D}" name="Column1" dataDxfId="14"/>
    <tableColumn id="2" xr3:uid="{2F326970-8CD6-4AC9-864F-54564004BFB3}" name="Column2" dataDxfId="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B5E50C9-A46D-401B-8D91-597BB746E170}" name="Table7" displayName="Table7" ref="A84:A89" totalsRowShown="0" headerRowDxfId="12" dataDxfId="11">
  <autoFilter ref="A84:A89" xr:uid="{EA3D5BA4-D421-4361-8ACB-EDE8497135A5}"/>
  <tableColumns count="1">
    <tableColumn id="1" xr3:uid="{E13DDE69-1CDA-42DA-8284-1FC5096340F7}" name="Column1" dataDxfId="1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62C1B63-4F8C-4A25-8207-17575EEE6563}" name="Table8" displayName="Table8" ref="A91:A98" totalsRowShown="0" headerRowDxfId="9" dataDxfId="8">
  <autoFilter ref="A91:A98" xr:uid="{01C1CC32-36FD-44BC-A1FA-2B907A14DA32}"/>
  <tableColumns count="1">
    <tableColumn id="1" xr3:uid="{ADED2246-66CB-4F24-9447-CC88658E2CE9}" name="Column1"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9CA490F-3948-462C-9684-B912662CA738}" name="Table9" displayName="Table9" ref="A100:A105" totalsRowShown="0" headerRowDxfId="6" dataDxfId="5">
  <autoFilter ref="A100:A105" xr:uid="{A025B5DD-7F54-4844-8BC4-9F5859338ED5}"/>
  <tableColumns count="1">
    <tableColumn id="1" xr3:uid="{C2D94084-34E8-4A48-85A6-4B26C99D4DD4}" name="Column1" dataDxfId="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676909-FD4F-4634-9C15-ADE246FB5BA1}" name="Table10" displayName="Table10" ref="A21:B29" totalsRowShown="0" headerRowDxfId="3" dataDxfId="2">
  <autoFilter ref="A21:B29" xr:uid="{5C676909-FD4F-4634-9C15-ADE246FB5BA1}"/>
  <tableColumns count="2">
    <tableColumn id="1" xr3:uid="{85C5914C-5F7F-47AF-9DAB-90BD0C839899}" name="Column1" dataDxfId="1"/>
    <tableColumn id="2" xr3:uid="{29BA4215-017C-4D3C-B33B-A71B2403E053}" name="Column2"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hyperlink" Target="https://www.product-safety-database.service.gov.uk/sign-in"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82593-8EF1-485E-8140-EA69C8E602EB}">
  <sheetPr codeName="Sheet4">
    <tabColor theme="4" tint="-0.249977111117893"/>
  </sheetPr>
  <dimension ref="B1:N277"/>
  <sheetViews>
    <sheetView showGridLines="0" workbookViewId="0">
      <selection activeCell="Q21" sqref="Q21"/>
    </sheetView>
  </sheetViews>
  <sheetFormatPr baseColWidth="10" defaultColWidth="8.83203125" defaultRowHeight="15" x14ac:dyDescent="0.2"/>
  <cols>
    <col min="1" max="21" width="7" customWidth="1"/>
  </cols>
  <sheetData>
    <row r="1" spans="2:14" ht="17.25" customHeight="1" x14ac:dyDescent="0.2"/>
    <row r="2" spans="2:14" ht="17.25" customHeight="1" x14ac:dyDescent="0.2"/>
    <row r="3" spans="2:14" ht="17.25" customHeight="1" x14ac:dyDescent="0.2">
      <c r="B3" s="52" t="s">
        <v>5</v>
      </c>
      <c r="C3" s="53"/>
      <c r="D3" s="53"/>
      <c r="E3" s="53"/>
      <c r="F3" s="53"/>
      <c r="G3" s="53"/>
      <c r="H3" s="54"/>
      <c r="I3" s="50" t="s">
        <v>6</v>
      </c>
      <c r="J3" s="51"/>
      <c r="K3" s="51"/>
      <c r="L3" s="51"/>
      <c r="M3" s="51"/>
      <c r="N3" s="51"/>
    </row>
    <row r="4" spans="2:14" ht="17.25" customHeight="1" x14ac:dyDescent="0.2">
      <c r="B4" s="47" t="s">
        <v>7</v>
      </c>
      <c r="C4" s="48"/>
      <c r="D4" s="48"/>
      <c r="E4" s="48"/>
      <c r="F4" s="48"/>
      <c r="G4" s="48"/>
      <c r="H4" s="49"/>
      <c r="I4" s="43" t="s">
        <v>8</v>
      </c>
      <c r="J4" s="44"/>
      <c r="K4" s="44"/>
      <c r="L4" s="44"/>
      <c r="M4" s="44"/>
      <c r="N4" s="44"/>
    </row>
    <row r="5" spans="2:14" ht="17.25" customHeight="1" x14ac:dyDescent="0.2">
      <c r="B5" s="47" t="s">
        <v>9</v>
      </c>
      <c r="C5" s="48"/>
      <c r="D5" s="48"/>
      <c r="E5" s="48"/>
      <c r="F5" s="48"/>
      <c r="G5" s="48"/>
      <c r="H5" s="49"/>
      <c r="I5" s="45" t="s">
        <v>10</v>
      </c>
      <c r="J5" s="46"/>
      <c r="K5" s="46"/>
      <c r="L5" s="46"/>
      <c r="M5" s="46"/>
      <c r="N5" s="46"/>
    </row>
    <row r="6" spans="2:14" ht="17.25" customHeight="1" x14ac:dyDescent="0.2">
      <c r="B6" s="47" t="s">
        <v>11</v>
      </c>
      <c r="C6" s="48"/>
      <c r="D6" s="48"/>
      <c r="E6" s="48"/>
      <c r="F6" s="48"/>
      <c r="G6" s="48"/>
      <c r="H6" s="49"/>
      <c r="I6" s="43" t="s">
        <v>12</v>
      </c>
      <c r="J6" s="44"/>
      <c r="K6" s="44"/>
      <c r="L6" s="44"/>
      <c r="M6" s="44"/>
      <c r="N6" s="44"/>
    </row>
    <row r="7" spans="2:14" ht="17.25" customHeight="1" x14ac:dyDescent="0.2">
      <c r="B7" s="47" t="s">
        <v>13</v>
      </c>
      <c r="C7" s="48"/>
      <c r="D7" s="48"/>
      <c r="E7" s="48"/>
      <c r="F7" s="48"/>
      <c r="G7" s="48"/>
      <c r="H7" s="49"/>
      <c r="I7" s="45" t="s">
        <v>14</v>
      </c>
      <c r="J7" s="46"/>
      <c r="K7" s="46"/>
      <c r="L7" s="46"/>
      <c r="M7" s="46"/>
      <c r="N7" s="46"/>
    </row>
    <row r="8" spans="2:14" ht="17.25" customHeight="1" x14ac:dyDescent="0.2">
      <c r="B8" s="47" t="s">
        <v>15</v>
      </c>
      <c r="C8" s="48"/>
      <c r="D8" s="48"/>
      <c r="E8" s="48"/>
      <c r="F8" s="48"/>
      <c r="G8" s="48"/>
      <c r="H8" s="49"/>
      <c r="I8" s="43" t="s">
        <v>16</v>
      </c>
      <c r="J8" s="44"/>
      <c r="K8" s="44"/>
      <c r="L8" s="44"/>
      <c r="M8" s="44"/>
      <c r="N8" s="44"/>
    </row>
    <row r="9" spans="2:14" ht="17.25" customHeight="1" x14ac:dyDescent="0.2">
      <c r="B9" s="47" t="s">
        <v>17</v>
      </c>
      <c r="C9" s="48"/>
      <c r="D9" s="48"/>
      <c r="E9" s="48"/>
      <c r="F9" s="48"/>
      <c r="G9" s="48"/>
      <c r="H9" s="49"/>
      <c r="I9" s="45" t="s">
        <v>18</v>
      </c>
      <c r="J9" s="46"/>
      <c r="K9" s="46"/>
      <c r="L9" s="46"/>
      <c r="M9" s="46"/>
      <c r="N9" s="46"/>
    </row>
    <row r="10" spans="2:14" ht="17.25" customHeight="1" x14ac:dyDescent="0.2">
      <c r="B10" s="47" t="s">
        <v>19</v>
      </c>
      <c r="C10" s="48"/>
      <c r="D10" s="48"/>
      <c r="E10" s="48"/>
      <c r="F10" s="48"/>
      <c r="G10" s="48"/>
      <c r="H10" s="49"/>
      <c r="I10" s="43" t="s">
        <v>20</v>
      </c>
      <c r="J10" s="44"/>
      <c r="K10" s="44"/>
      <c r="L10" s="44"/>
      <c r="M10" s="44"/>
      <c r="N10" s="44"/>
    </row>
    <row r="11" spans="2:14" ht="17.25" customHeight="1" x14ac:dyDescent="0.2">
      <c r="B11" s="47" t="s">
        <v>21</v>
      </c>
      <c r="C11" s="48"/>
      <c r="D11" s="48"/>
      <c r="E11" s="48"/>
      <c r="F11" s="48"/>
      <c r="G11" s="48"/>
      <c r="H11" s="49"/>
      <c r="I11" s="45" t="s">
        <v>22</v>
      </c>
      <c r="J11" s="46"/>
      <c r="K11" s="46"/>
      <c r="L11" s="46"/>
      <c r="M11" s="46"/>
      <c r="N11" s="46"/>
    </row>
    <row r="12" spans="2:14" ht="17.25" customHeight="1" x14ac:dyDescent="0.2">
      <c r="B12" s="47" t="s">
        <v>23</v>
      </c>
      <c r="C12" s="48"/>
      <c r="D12" s="48"/>
      <c r="E12" s="48"/>
      <c r="F12" s="48"/>
      <c r="G12" s="48"/>
      <c r="H12" s="49"/>
      <c r="I12" s="43" t="s">
        <v>24</v>
      </c>
      <c r="J12" s="44"/>
      <c r="K12" s="44"/>
      <c r="L12" s="44"/>
      <c r="M12" s="44"/>
      <c r="N12" s="44"/>
    </row>
    <row r="13" spans="2:14" ht="17.25" customHeight="1" x14ac:dyDescent="0.2">
      <c r="B13" s="47" t="s">
        <v>25</v>
      </c>
      <c r="C13" s="48"/>
      <c r="D13" s="48"/>
      <c r="E13" s="48"/>
      <c r="F13" s="48"/>
      <c r="G13" s="48"/>
      <c r="H13" s="49"/>
      <c r="I13" s="45" t="s">
        <v>26</v>
      </c>
      <c r="J13" s="46"/>
      <c r="K13" s="46"/>
      <c r="L13" s="46"/>
      <c r="M13" s="46"/>
      <c r="N13" s="46"/>
    </row>
    <row r="14" spans="2:14" ht="17.25" customHeight="1" x14ac:dyDescent="0.2"/>
    <row r="15" spans="2:14" ht="17.25" customHeight="1" x14ac:dyDescent="0.2">
      <c r="B15" s="38" t="s">
        <v>27</v>
      </c>
      <c r="C15" s="38"/>
      <c r="D15" s="38"/>
      <c r="E15" s="38"/>
      <c r="F15" s="38"/>
      <c r="G15" s="38"/>
      <c r="H15" s="38"/>
      <c r="I15" s="38"/>
      <c r="J15" s="38"/>
      <c r="K15" s="38"/>
      <c r="L15" s="38"/>
      <c r="M15" s="38"/>
      <c r="N15" s="1"/>
    </row>
    <row r="16" spans="2:14" ht="17.25" customHeight="1" x14ac:dyDescent="0.2">
      <c r="B16" s="38"/>
      <c r="C16" s="38"/>
      <c r="D16" s="38"/>
      <c r="E16" s="38"/>
      <c r="F16" s="38"/>
      <c r="G16" s="38"/>
      <c r="H16" s="38"/>
      <c r="I16" s="38"/>
      <c r="J16" s="38"/>
      <c r="K16" s="38"/>
      <c r="L16" s="38"/>
      <c r="M16" s="38"/>
      <c r="N16" s="1"/>
    </row>
    <row r="17" spans="2:14" ht="17.25" customHeight="1" x14ac:dyDescent="0.2">
      <c r="B17" s="38"/>
      <c r="C17" s="38"/>
      <c r="D17" s="38"/>
      <c r="E17" s="38"/>
      <c r="F17" s="38"/>
      <c r="G17" s="38"/>
      <c r="H17" s="38"/>
      <c r="I17" s="38"/>
      <c r="J17" s="38"/>
      <c r="K17" s="38"/>
      <c r="L17" s="38"/>
      <c r="M17" s="38"/>
      <c r="N17" s="1"/>
    </row>
    <row r="18" spans="2:14" ht="17.25" customHeight="1" x14ac:dyDescent="0.2">
      <c r="B18" s="37" t="s">
        <v>28</v>
      </c>
      <c r="C18" s="37"/>
      <c r="D18" s="37"/>
      <c r="E18" s="37"/>
      <c r="F18" s="37" t="s">
        <v>29</v>
      </c>
      <c r="G18" s="37"/>
      <c r="H18" s="37"/>
      <c r="I18" s="37"/>
      <c r="J18" s="37"/>
      <c r="K18" s="37"/>
      <c r="L18" s="37"/>
      <c r="M18" s="37"/>
    </row>
    <row r="19" spans="2:14" ht="21.75" customHeight="1" x14ac:dyDescent="0.2">
      <c r="B19" s="37"/>
      <c r="C19" s="37"/>
      <c r="D19" s="37"/>
      <c r="E19" s="37"/>
      <c r="F19" s="39" t="s">
        <v>30</v>
      </c>
      <c r="G19" s="39"/>
      <c r="H19" s="39" t="s">
        <v>31</v>
      </c>
      <c r="I19" s="39"/>
      <c r="J19" s="39" t="s">
        <v>32</v>
      </c>
      <c r="K19" s="39"/>
      <c r="L19" s="39" t="s">
        <v>33</v>
      </c>
      <c r="M19" s="39"/>
    </row>
    <row r="20" spans="2:14" ht="17.25" customHeight="1" x14ac:dyDescent="0.2">
      <c r="B20" s="34" t="s">
        <v>34</v>
      </c>
      <c r="C20" s="34"/>
      <c r="D20" s="34" t="s">
        <v>35</v>
      </c>
      <c r="E20" s="34"/>
      <c r="F20" s="41" t="s">
        <v>36</v>
      </c>
      <c r="G20" s="41"/>
      <c r="H20" s="40" t="s">
        <v>37</v>
      </c>
      <c r="I20" s="40"/>
      <c r="J20" s="40" t="s">
        <v>37</v>
      </c>
      <c r="K20" s="40"/>
      <c r="L20" s="40" t="s">
        <v>37</v>
      </c>
      <c r="M20" s="40"/>
    </row>
    <row r="21" spans="2:14" ht="17.25" customHeight="1" x14ac:dyDescent="0.2">
      <c r="B21" s="34"/>
      <c r="C21" s="34"/>
      <c r="D21" s="34"/>
      <c r="E21" s="34"/>
      <c r="F21" s="41"/>
      <c r="G21" s="41"/>
      <c r="H21" s="40"/>
      <c r="I21" s="40"/>
      <c r="J21" s="40"/>
      <c r="K21" s="40"/>
      <c r="L21" s="40"/>
      <c r="M21" s="40"/>
    </row>
    <row r="22" spans="2:14" ht="17.25" customHeight="1" x14ac:dyDescent="0.2">
      <c r="B22" s="30" t="s">
        <v>38</v>
      </c>
      <c r="C22" s="31"/>
      <c r="D22" s="30" t="s">
        <v>39</v>
      </c>
      <c r="E22" s="31"/>
      <c r="F22" s="42" t="s">
        <v>36</v>
      </c>
      <c r="G22" s="42"/>
      <c r="H22" s="40" t="s">
        <v>37</v>
      </c>
      <c r="I22" s="40"/>
      <c r="J22" s="40" t="s">
        <v>37</v>
      </c>
      <c r="K22" s="40"/>
      <c r="L22" s="40" t="s">
        <v>37</v>
      </c>
      <c r="M22" s="40"/>
    </row>
    <row r="23" spans="2:14" ht="17.25" customHeight="1" x14ac:dyDescent="0.2">
      <c r="B23" s="32"/>
      <c r="C23" s="33"/>
      <c r="D23" s="32"/>
      <c r="E23" s="33"/>
      <c r="F23" s="42"/>
      <c r="G23" s="42"/>
      <c r="H23" s="40"/>
      <c r="I23" s="40"/>
      <c r="J23" s="40"/>
      <c r="K23" s="40"/>
      <c r="L23" s="40"/>
      <c r="M23" s="40"/>
    </row>
    <row r="24" spans="2:14" ht="17.25" customHeight="1" x14ac:dyDescent="0.2">
      <c r="B24" s="30" t="s">
        <v>40</v>
      </c>
      <c r="C24" s="31"/>
      <c r="D24" s="30" t="s">
        <v>41</v>
      </c>
      <c r="E24" s="31"/>
      <c r="F24" s="42" t="s">
        <v>36</v>
      </c>
      <c r="G24" s="42"/>
      <c r="H24" s="40" t="s">
        <v>37</v>
      </c>
      <c r="I24" s="40"/>
      <c r="J24" s="40" t="s">
        <v>37</v>
      </c>
      <c r="K24" s="40"/>
      <c r="L24" s="40" t="s">
        <v>37</v>
      </c>
      <c r="M24" s="40"/>
    </row>
    <row r="25" spans="2:14" ht="17.25" customHeight="1" x14ac:dyDescent="0.2">
      <c r="B25" s="32"/>
      <c r="C25" s="33"/>
      <c r="D25" s="32"/>
      <c r="E25" s="33"/>
      <c r="F25" s="42"/>
      <c r="G25" s="42"/>
      <c r="H25" s="40"/>
      <c r="I25" s="40"/>
      <c r="J25" s="40"/>
      <c r="K25" s="40"/>
      <c r="L25" s="40"/>
      <c r="M25" s="40"/>
    </row>
    <row r="26" spans="2:14" ht="17.25" customHeight="1" x14ac:dyDescent="0.2">
      <c r="B26" s="30" t="s">
        <v>42</v>
      </c>
      <c r="C26" s="31"/>
      <c r="D26" s="30" t="s">
        <v>43</v>
      </c>
      <c r="E26" s="31"/>
      <c r="F26" s="35" t="s">
        <v>44</v>
      </c>
      <c r="G26" s="35"/>
      <c r="H26" s="41" t="s">
        <v>36</v>
      </c>
      <c r="I26" s="41"/>
      <c r="J26" s="40" t="s">
        <v>37</v>
      </c>
      <c r="K26" s="40"/>
      <c r="L26" s="40" t="s">
        <v>37</v>
      </c>
      <c r="M26" s="40"/>
    </row>
    <row r="27" spans="2:14" ht="17.25" customHeight="1" x14ac:dyDescent="0.2">
      <c r="B27" s="32"/>
      <c r="C27" s="33"/>
      <c r="D27" s="32"/>
      <c r="E27" s="33"/>
      <c r="F27" s="35"/>
      <c r="G27" s="35"/>
      <c r="H27" s="41"/>
      <c r="I27" s="41"/>
      <c r="J27" s="40"/>
      <c r="K27" s="40"/>
      <c r="L27" s="40"/>
      <c r="M27" s="40"/>
    </row>
    <row r="28" spans="2:14" ht="17.25" customHeight="1" x14ac:dyDescent="0.2">
      <c r="B28" s="30" t="s">
        <v>45</v>
      </c>
      <c r="C28" s="31"/>
      <c r="D28" s="30" t="s">
        <v>46</v>
      </c>
      <c r="E28" s="31"/>
      <c r="F28" s="36" t="s">
        <v>47</v>
      </c>
      <c r="G28" s="36"/>
      <c r="H28" s="35" t="s">
        <v>44</v>
      </c>
      <c r="I28" s="35"/>
      <c r="J28" s="41" t="s">
        <v>36</v>
      </c>
      <c r="K28" s="41"/>
      <c r="L28" s="40" t="s">
        <v>37</v>
      </c>
      <c r="M28" s="40"/>
    </row>
    <row r="29" spans="2:14" ht="17.25" customHeight="1" x14ac:dyDescent="0.2">
      <c r="B29" s="32"/>
      <c r="C29" s="33"/>
      <c r="D29" s="32"/>
      <c r="E29" s="33"/>
      <c r="F29" s="36"/>
      <c r="G29" s="36"/>
      <c r="H29" s="35"/>
      <c r="I29" s="35"/>
      <c r="J29" s="41"/>
      <c r="K29" s="41"/>
      <c r="L29" s="40"/>
      <c r="M29" s="40"/>
    </row>
    <row r="30" spans="2:14" ht="17.25" customHeight="1" x14ac:dyDescent="0.2">
      <c r="B30" s="30" t="s">
        <v>48</v>
      </c>
      <c r="C30" s="31"/>
      <c r="D30" s="30" t="s">
        <v>49</v>
      </c>
      <c r="E30" s="31"/>
      <c r="F30" s="36" t="s">
        <v>47</v>
      </c>
      <c r="G30" s="36"/>
      <c r="H30" s="36" t="s">
        <v>47</v>
      </c>
      <c r="I30" s="36"/>
      <c r="J30" s="35" t="s">
        <v>44</v>
      </c>
      <c r="K30" s="35"/>
      <c r="L30" s="41" t="s">
        <v>36</v>
      </c>
      <c r="M30" s="41"/>
    </row>
    <row r="31" spans="2:14" ht="17.25" customHeight="1" x14ac:dyDescent="0.2">
      <c r="B31" s="32"/>
      <c r="C31" s="33"/>
      <c r="D31" s="32"/>
      <c r="E31" s="33"/>
      <c r="F31" s="36"/>
      <c r="G31" s="36"/>
      <c r="H31" s="36"/>
      <c r="I31" s="36"/>
      <c r="J31" s="35"/>
      <c r="K31" s="35"/>
      <c r="L31" s="41"/>
      <c r="M31" s="41"/>
    </row>
    <row r="32" spans="2:14" ht="17.25" customHeight="1" x14ac:dyDescent="0.2">
      <c r="B32" s="30" t="s">
        <v>50</v>
      </c>
      <c r="C32" s="31"/>
      <c r="D32" s="30" t="s">
        <v>51</v>
      </c>
      <c r="E32" s="31"/>
      <c r="F32" s="36" t="s">
        <v>47</v>
      </c>
      <c r="G32" s="36"/>
      <c r="H32" s="36" t="s">
        <v>47</v>
      </c>
      <c r="I32" s="36"/>
      <c r="J32" s="36" t="s">
        <v>47</v>
      </c>
      <c r="K32" s="36"/>
      <c r="L32" s="35" t="s">
        <v>44</v>
      </c>
      <c r="M32" s="35"/>
    </row>
    <row r="33" spans="2:13" ht="17.25" customHeight="1" x14ac:dyDescent="0.2">
      <c r="B33" s="32"/>
      <c r="C33" s="33"/>
      <c r="D33" s="32"/>
      <c r="E33" s="33"/>
      <c r="F33" s="36"/>
      <c r="G33" s="36"/>
      <c r="H33" s="36"/>
      <c r="I33" s="36"/>
      <c r="J33" s="36"/>
      <c r="K33" s="36"/>
      <c r="L33" s="35"/>
      <c r="M33" s="35"/>
    </row>
    <row r="34" spans="2:13" ht="17.25" customHeight="1" x14ac:dyDescent="0.2">
      <c r="B34" s="30" t="s">
        <v>52</v>
      </c>
      <c r="C34" s="31"/>
      <c r="D34" s="30" t="s">
        <v>53</v>
      </c>
      <c r="E34" s="31"/>
      <c r="F34" s="36" t="s">
        <v>47</v>
      </c>
      <c r="G34" s="36"/>
      <c r="H34" s="36" t="s">
        <v>47</v>
      </c>
      <c r="I34" s="36"/>
      <c r="J34" s="36" t="s">
        <v>47</v>
      </c>
      <c r="K34" s="36"/>
      <c r="L34" s="36" t="s">
        <v>47</v>
      </c>
      <c r="M34" s="36"/>
    </row>
    <row r="35" spans="2:13" ht="17.25" customHeight="1" x14ac:dyDescent="0.2">
      <c r="B35" s="32"/>
      <c r="C35" s="33"/>
      <c r="D35" s="32"/>
      <c r="E35" s="33"/>
      <c r="F35" s="36"/>
      <c r="G35" s="36"/>
      <c r="H35" s="36"/>
      <c r="I35" s="36"/>
      <c r="J35" s="36"/>
      <c r="K35" s="36"/>
      <c r="L35" s="36"/>
      <c r="M35" s="36"/>
    </row>
    <row r="36" spans="2:13" ht="17.25" customHeight="1" x14ac:dyDescent="0.2"/>
    <row r="37" spans="2:13" ht="17.25" customHeight="1" x14ac:dyDescent="0.2"/>
    <row r="38" spans="2:13" ht="17.25" customHeight="1" x14ac:dyDescent="0.2"/>
    <row r="39" spans="2:13" ht="17.25" customHeight="1" x14ac:dyDescent="0.2"/>
    <row r="40" spans="2:13" ht="17.25" customHeight="1" x14ac:dyDescent="0.2"/>
    <row r="41" spans="2:13" ht="17.25" customHeight="1" x14ac:dyDescent="0.2"/>
    <row r="42" spans="2:13" ht="17.25" customHeight="1" x14ac:dyDescent="0.2"/>
    <row r="43" spans="2:13" ht="17.25" customHeight="1" x14ac:dyDescent="0.2"/>
    <row r="44" spans="2:13" ht="17.25" customHeight="1" x14ac:dyDescent="0.2"/>
    <row r="45" spans="2:13" ht="17.25" customHeight="1" x14ac:dyDescent="0.2"/>
    <row r="46" spans="2:13" ht="17.25" customHeight="1" x14ac:dyDescent="0.2"/>
    <row r="47" spans="2:13" ht="17.25" customHeight="1" x14ac:dyDescent="0.2"/>
    <row r="48" spans="2:13" ht="17.25" customHeight="1" x14ac:dyDescent="0.2"/>
    <row r="49" ht="17.25" customHeight="1" x14ac:dyDescent="0.2"/>
    <row r="50" ht="17.25" customHeight="1" x14ac:dyDescent="0.2"/>
    <row r="51" ht="17.25" customHeight="1" x14ac:dyDescent="0.2"/>
    <row r="52" ht="17.25" customHeight="1" x14ac:dyDescent="0.2"/>
    <row r="53" ht="17.25" customHeight="1" x14ac:dyDescent="0.2"/>
    <row r="54" ht="17.25" customHeight="1" x14ac:dyDescent="0.2"/>
    <row r="55" ht="17.25" customHeight="1" x14ac:dyDescent="0.2"/>
    <row r="56" ht="17.25" customHeight="1" x14ac:dyDescent="0.2"/>
    <row r="57" ht="17.25" customHeight="1" x14ac:dyDescent="0.2"/>
    <row r="58" ht="17.25" customHeight="1" x14ac:dyDescent="0.2"/>
    <row r="59" ht="17.25" customHeight="1" x14ac:dyDescent="0.2"/>
    <row r="60" ht="17.25" customHeight="1" x14ac:dyDescent="0.2"/>
    <row r="61" ht="17.25" customHeight="1" x14ac:dyDescent="0.2"/>
    <row r="62" ht="17.25" customHeight="1" x14ac:dyDescent="0.2"/>
    <row r="63" ht="17.25" customHeight="1" x14ac:dyDescent="0.2"/>
    <row r="64" ht="17.25" customHeight="1" x14ac:dyDescent="0.2"/>
    <row r="65" ht="17.25" customHeight="1" x14ac:dyDescent="0.2"/>
    <row r="66" ht="17.25" customHeight="1" x14ac:dyDescent="0.2"/>
    <row r="67" ht="17.25" customHeight="1" x14ac:dyDescent="0.2"/>
    <row r="68" ht="17.25" customHeight="1" x14ac:dyDescent="0.2"/>
    <row r="69" ht="17.25" customHeight="1" x14ac:dyDescent="0.2"/>
    <row r="70" ht="17.25" customHeight="1" x14ac:dyDescent="0.2"/>
    <row r="71" ht="17.25" customHeight="1" x14ac:dyDescent="0.2"/>
    <row r="72" ht="17.25" customHeight="1" x14ac:dyDescent="0.2"/>
    <row r="73" ht="17.25" customHeight="1" x14ac:dyDescent="0.2"/>
    <row r="74" ht="17.25" customHeight="1" x14ac:dyDescent="0.2"/>
    <row r="75" ht="17.25" customHeight="1" x14ac:dyDescent="0.2"/>
    <row r="76" ht="17.25" customHeight="1" x14ac:dyDescent="0.2"/>
    <row r="77" ht="17.25" customHeight="1" x14ac:dyDescent="0.2"/>
    <row r="78" ht="17.25" customHeight="1" x14ac:dyDescent="0.2"/>
    <row r="79" ht="17.25" customHeight="1" x14ac:dyDescent="0.2"/>
    <row r="80" ht="17.25" customHeight="1" x14ac:dyDescent="0.2"/>
    <row r="81" ht="17.25" customHeight="1" x14ac:dyDescent="0.2"/>
    <row r="82" ht="17.25" customHeight="1" x14ac:dyDescent="0.2"/>
    <row r="83" ht="17.25" customHeight="1" x14ac:dyDescent="0.2"/>
    <row r="84" ht="17.25" customHeight="1" x14ac:dyDescent="0.2"/>
    <row r="85" ht="17.25" customHeight="1" x14ac:dyDescent="0.2"/>
    <row r="86" ht="17.25" customHeight="1" x14ac:dyDescent="0.2"/>
    <row r="87" ht="17.25" customHeight="1" x14ac:dyDescent="0.2"/>
    <row r="88" ht="17.25" customHeight="1" x14ac:dyDescent="0.2"/>
    <row r="89" ht="17.25" customHeight="1" x14ac:dyDescent="0.2"/>
    <row r="90" ht="17.25" customHeight="1" x14ac:dyDescent="0.2"/>
    <row r="91" ht="17.25" customHeight="1" x14ac:dyDescent="0.2"/>
    <row r="92" ht="17.25" customHeight="1" x14ac:dyDescent="0.2"/>
    <row r="93" ht="17.25" customHeight="1" x14ac:dyDescent="0.2"/>
    <row r="94" ht="17.25" customHeight="1" x14ac:dyDescent="0.2"/>
    <row r="95" ht="17.25" customHeight="1" x14ac:dyDescent="0.2"/>
    <row r="96" ht="17.25" customHeight="1" x14ac:dyDescent="0.2"/>
    <row r="97" ht="17.25" customHeight="1" x14ac:dyDescent="0.2"/>
    <row r="98" ht="17.25" customHeight="1" x14ac:dyDescent="0.2"/>
    <row r="99" ht="17.25" customHeight="1" x14ac:dyDescent="0.2"/>
    <row r="100" ht="17.25" customHeight="1" x14ac:dyDescent="0.2"/>
    <row r="101" ht="17.25" customHeight="1" x14ac:dyDescent="0.2"/>
    <row r="102" ht="17.25" customHeight="1" x14ac:dyDescent="0.2"/>
    <row r="103" ht="17.25" customHeight="1" x14ac:dyDescent="0.2"/>
    <row r="104" ht="17.25" customHeight="1" x14ac:dyDescent="0.2"/>
    <row r="105" ht="17.25" customHeight="1" x14ac:dyDescent="0.2"/>
    <row r="106" ht="17.25" customHeight="1" x14ac:dyDescent="0.2"/>
    <row r="107" ht="17.25" customHeight="1" x14ac:dyDescent="0.2"/>
    <row r="108" ht="17.25" customHeight="1" x14ac:dyDescent="0.2"/>
    <row r="109" ht="17.25" customHeight="1" x14ac:dyDescent="0.2"/>
    <row r="110" ht="17.25" customHeight="1" x14ac:dyDescent="0.2"/>
    <row r="111" ht="17.25" customHeight="1" x14ac:dyDescent="0.2"/>
    <row r="112" ht="17.25" customHeight="1" x14ac:dyDescent="0.2"/>
    <row r="113" ht="17.25" customHeight="1" x14ac:dyDescent="0.2"/>
    <row r="114" ht="17.25" customHeight="1" x14ac:dyDescent="0.2"/>
    <row r="115" ht="17.25" customHeight="1" x14ac:dyDescent="0.2"/>
    <row r="116" ht="17.25" customHeight="1" x14ac:dyDescent="0.2"/>
    <row r="117" ht="17.25" customHeight="1" x14ac:dyDescent="0.2"/>
    <row r="118" ht="17.25" customHeight="1" x14ac:dyDescent="0.2"/>
    <row r="119" ht="17.25" customHeight="1" x14ac:dyDescent="0.2"/>
    <row r="120" ht="17.25" customHeight="1" x14ac:dyDescent="0.2"/>
    <row r="121" ht="17.25" customHeight="1" x14ac:dyDescent="0.2"/>
    <row r="122" ht="17.25" customHeight="1" x14ac:dyDescent="0.2"/>
    <row r="123" ht="17.25" customHeight="1" x14ac:dyDescent="0.2"/>
    <row r="124" ht="17.25" customHeight="1" x14ac:dyDescent="0.2"/>
    <row r="125" ht="17.25" customHeight="1" x14ac:dyDescent="0.2"/>
    <row r="126" ht="17.25" customHeight="1" x14ac:dyDescent="0.2"/>
    <row r="127" ht="17.25" customHeight="1" x14ac:dyDescent="0.2"/>
    <row r="128" ht="17.25" customHeight="1" x14ac:dyDescent="0.2"/>
    <row r="129" ht="17.25" customHeight="1" x14ac:dyDescent="0.2"/>
    <row r="130" ht="17.25" customHeight="1" x14ac:dyDescent="0.2"/>
    <row r="131" ht="17.25" customHeight="1" x14ac:dyDescent="0.2"/>
    <row r="132" ht="17.25" customHeight="1" x14ac:dyDescent="0.2"/>
    <row r="133" ht="17.25" customHeight="1" x14ac:dyDescent="0.2"/>
    <row r="134" ht="17.25" customHeight="1" x14ac:dyDescent="0.2"/>
    <row r="135" ht="17.25" customHeight="1" x14ac:dyDescent="0.2"/>
    <row r="136" ht="17.25" customHeight="1" x14ac:dyDescent="0.2"/>
    <row r="137" ht="17.25" customHeight="1" x14ac:dyDescent="0.2"/>
    <row r="138" ht="17.25" customHeight="1" x14ac:dyDescent="0.2"/>
    <row r="139" ht="17.25" customHeight="1" x14ac:dyDescent="0.2"/>
    <row r="140" ht="17.25" customHeight="1" x14ac:dyDescent="0.2"/>
    <row r="141" ht="17.25" customHeight="1" x14ac:dyDescent="0.2"/>
    <row r="142" ht="17.25" customHeight="1" x14ac:dyDescent="0.2"/>
    <row r="143" ht="17.25" customHeight="1" x14ac:dyDescent="0.2"/>
    <row r="144" ht="17.25" customHeight="1" x14ac:dyDescent="0.2"/>
    <row r="145" ht="17.25" customHeight="1" x14ac:dyDescent="0.2"/>
    <row r="146" ht="17.25" customHeight="1" x14ac:dyDescent="0.2"/>
    <row r="147" ht="17.25" customHeight="1" x14ac:dyDescent="0.2"/>
    <row r="148" ht="17.25" customHeight="1" x14ac:dyDescent="0.2"/>
    <row r="149" ht="17.25" customHeight="1" x14ac:dyDescent="0.2"/>
    <row r="150" ht="17.25" customHeight="1" x14ac:dyDescent="0.2"/>
    <row r="151" ht="17.25" customHeight="1" x14ac:dyDescent="0.2"/>
    <row r="152" ht="17.25" customHeight="1" x14ac:dyDescent="0.2"/>
    <row r="153" ht="17.25" customHeight="1" x14ac:dyDescent="0.2"/>
    <row r="154" ht="17.25" customHeight="1" x14ac:dyDescent="0.2"/>
    <row r="155" ht="17.25" customHeight="1" x14ac:dyDescent="0.2"/>
    <row r="156" ht="17.25" customHeight="1" x14ac:dyDescent="0.2"/>
    <row r="157" ht="17.25" customHeight="1" x14ac:dyDescent="0.2"/>
    <row r="158" ht="17.25" customHeight="1" x14ac:dyDescent="0.2"/>
    <row r="159" ht="17.25" customHeight="1" x14ac:dyDescent="0.2"/>
    <row r="160" ht="17.25" customHeight="1" x14ac:dyDescent="0.2"/>
    <row r="161" ht="17.25" customHeight="1" x14ac:dyDescent="0.2"/>
    <row r="162" ht="17.25" customHeight="1" x14ac:dyDescent="0.2"/>
    <row r="163" ht="17.25" customHeight="1" x14ac:dyDescent="0.2"/>
    <row r="164" ht="17.25" customHeight="1" x14ac:dyDescent="0.2"/>
    <row r="165" ht="17.25" customHeight="1" x14ac:dyDescent="0.2"/>
    <row r="166" ht="17.25" customHeight="1" x14ac:dyDescent="0.2"/>
    <row r="167" ht="17.25" customHeight="1" x14ac:dyDescent="0.2"/>
    <row r="168" ht="17.25" customHeight="1" x14ac:dyDescent="0.2"/>
    <row r="169" ht="17.25" customHeight="1" x14ac:dyDescent="0.2"/>
    <row r="170" ht="17.25" customHeight="1" x14ac:dyDescent="0.2"/>
    <row r="171" ht="17.25" customHeight="1" x14ac:dyDescent="0.2"/>
    <row r="172" ht="17.25" customHeight="1" x14ac:dyDescent="0.2"/>
    <row r="173" ht="17.25" customHeight="1" x14ac:dyDescent="0.2"/>
    <row r="174" ht="17.25" customHeight="1" x14ac:dyDescent="0.2"/>
    <row r="175" ht="17.25" customHeight="1" x14ac:dyDescent="0.2"/>
    <row r="176" ht="17.25" customHeight="1" x14ac:dyDescent="0.2"/>
    <row r="177" ht="17.25" customHeight="1" x14ac:dyDescent="0.2"/>
    <row r="178" ht="17.25" customHeight="1" x14ac:dyDescent="0.2"/>
    <row r="179" ht="17.25" customHeight="1" x14ac:dyDescent="0.2"/>
    <row r="180" ht="17.25" customHeight="1" x14ac:dyDescent="0.2"/>
    <row r="181" ht="17.25" customHeight="1" x14ac:dyDescent="0.2"/>
    <row r="182" ht="17.25" customHeight="1" x14ac:dyDescent="0.2"/>
    <row r="183" ht="17.25" customHeight="1" x14ac:dyDescent="0.2"/>
    <row r="184" ht="17.25" customHeight="1" x14ac:dyDescent="0.2"/>
    <row r="185" ht="17.25" customHeight="1" x14ac:dyDescent="0.2"/>
    <row r="186" ht="17.25" customHeight="1" x14ac:dyDescent="0.2"/>
    <row r="187" ht="17.25" customHeight="1" x14ac:dyDescent="0.2"/>
    <row r="188" ht="17.25" customHeight="1" x14ac:dyDescent="0.2"/>
    <row r="189" ht="17.25" customHeight="1" x14ac:dyDescent="0.2"/>
    <row r="190" ht="17.25" customHeight="1" x14ac:dyDescent="0.2"/>
    <row r="191" ht="17.25" customHeight="1" x14ac:dyDescent="0.2"/>
    <row r="192" ht="17.25" customHeight="1" x14ac:dyDescent="0.2"/>
    <row r="193" ht="17.25" customHeight="1" x14ac:dyDescent="0.2"/>
    <row r="194" ht="17.25" customHeight="1" x14ac:dyDescent="0.2"/>
    <row r="195" ht="17.25" customHeight="1" x14ac:dyDescent="0.2"/>
    <row r="196" ht="17.25" customHeight="1" x14ac:dyDescent="0.2"/>
    <row r="197" ht="17.25" customHeight="1" x14ac:dyDescent="0.2"/>
    <row r="198" ht="17.25" customHeight="1" x14ac:dyDescent="0.2"/>
    <row r="199" ht="17.25" customHeight="1" x14ac:dyDescent="0.2"/>
    <row r="200" ht="17.25" customHeight="1" x14ac:dyDescent="0.2"/>
    <row r="201" ht="17.25" customHeight="1" x14ac:dyDescent="0.2"/>
    <row r="202" ht="17.25" customHeight="1" x14ac:dyDescent="0.2"/>
    <row r="203" ht="17.25" customHeight="1" x14ac:dyDescent="0.2"/>
    <row r="204" ht="17.25" customHeight="1" x14ac:dyDescent="0.2"/>
    <row r="205" ht="17.25" customHeight="1" x14ac:dyDescent="0.2"/>
    <row r="206" ht="17.25" customHeight="1" x14ac:dyDescent="0.2"/>
    <row r="207" ht="17.25" customHeight="1" x14ac:dyDescent="0.2"/>
    <row r="208" ht="17.25" customHeight="1" x14ac:dyDescent="0.2"/>
    <row r="209" ht="17.25" customHeight="1" x14ac:dyDescent="0.2"/>
    <row r="210" ht="17.25" customHeight="1" x14ac:dyDescent="0.2"/>
    <row r="211" ht="17.25" customHeight="1" x14ac:dyDescent="0.2"/>
    <row r="212" ht="17.25" customHeight="1" x14ac:dyDescent="0.2"/>
    <row r="213" ht="17.25" customHeight="1" x14ac:dyDescent="0.2"/>
    <row r="214" ht="17.25" customHeight="1" x14ac:dyDescent="0.2"/>
    <row r="215" ht="17.25" customHeight="1" x14ac:dyDescent="0.2"/>
    <row r="216" ht="17.25" customHeight="1" x14ac:dyDescent="0.2"/>
    <row r="217" ht="17.25" customHeight="1" x14ac:dyDescent="0.2"/>
    <row r="218" ht="17.25" customHeight="1" x14ac:dyDescent="0.2"/>
    <row r="219" ht="17.25" customHeight="1" x14ac:dyDescent="0.2"/>
    <row r="220" ht="17.25" customHeight="1" x14ac:dyDescent="0.2"/>
    <row r="221" ht="17.25" customHeight="1" x14ac:dyDescent="0.2"/>
    <row r="222" ht="17.25" customHeight="1" x14ac:dyDescent="0.2"/>
    <row r="223" ht="17.25" customHeight="1" x14ac:dyDescent="0.2"/>
    <row r="224" ht="17.25" customHeight="1" x14ac:dyDescent="0.2"/>
    <row r="225" ht="17.25" customHeight="1" x14ac:dyDescent="0.2"/>
    <row r="226" ht="17.25" customHeight="1" x14ac:dyDescent="0.2"/>
    <row r="227" ht="17.25" customHeight="1" x14ac:dyDescent="0.2"/>
    <row r="228" ht="17.25" customHeight="1" x14ac:dyDescent="0.2"/>
    <row r="229" ht="17.25" customHeight="1" x14ac:dyDescent="0.2"/>
    <row r="230" ht="17.25" customHeight="1" x14ac:dyDescent="0.2"/>
    <row r="231" ht="17.25" customHeight="1" x14ac:dyDescent="0.2"/>
    <row r="232" ht="17.25" customHeight="1" x14ac:dyDescent="0.2"/>
    <row r="233" ht="17.25" customHeight="1" x14ac:dyDescent="0.2"/>
    <row r="234" ht="17.25" customHeight="1" x14ac:dyDescent="0.2"/>
    <row r="235" ht="17.25" customHeight="1" x14ac:dyDescent="0.2"/>
    <row r="236" ht="17.25" customHeight="1" x14ac:dyDescent="0.2"/>
    <row r="237" ht="17.25" customHeight="1" x14ac:dyDescent="0.2"/>
    <row r="238" ht="17.25" customHeight="1" x14ac:dyDescent="0.2"/>
    <row r="239" ht="17.25" customHeight="1" x14ac:dyDescent="0.2"/>
    <row r="240" ht="17.25" customHeight="1" x14ac:dyDescent="0.2"/>
    <row r="241" ht="17.25" customHeight="1" x14ac:dyDescent="0.2"/>
    <row r="242" ht="17.25" customHeight="1" x14ac:dyDescent="0.2"/>
    <row r="243" ht="17.25" customHeight="1" x14ac:dyDescent="0.2"/>
    <row r="244" ht="17.25" customHeight="1" x14ac:dyDescent="0.2"/>
    <row r="245" ht="17.25" customHeight="1" x14ac:dyDescent="0.2"/>
    <row r="246" ht="17.25" customHeight="1" x14ac:dyDescent="0.2"/>
    <row r="247" ht="17.25" customHeight="1" x14ac:dyDescent="0.2"/>
    <row r="248" ht="17.25" customHeight="1" x14ac:dyDescent="0.2"/>
    <row r="249" ht="17.25" customHeight="1" x14ac:dyDescent="0.2"/>
    <row r="250" ht="17.25" customHeight="1" x14ac:dyDescent="0.2"/>
    <row r="251" ht="17.25" customHeight="1" x14ac:dyDescent="0.2"/>
    <row r="252" ht="17.25" customHeight="1" x14ac:dyDescent="0.2"/>
    <row r="253" ht="17.25" customHeight="1" x14ac:dyDescent="0.2"/>
    <row r="254" ht="17.25" customHeight="1" x14ac:dyDescent="0.2"/>
    <row r="255" ht="17.25" customHeight="1" x14ac:dyDescent="0.2"/>
    <row r="256" ht="17.25" customHeight="1" x14ac:dyDescent="0.2"/>
    <row r="257" ht="17.25" customHeight="1" x14ac:dyDescent="0.2"/>
    <row r="258" ht="17.25" customHeight="1" x14ac:dyDescent="0.2"/>
    <row r="259" ht="17.25" customHeight="1" x14ac:dyDescent="0.2"/>
    <row r="260" ht="17.25" customHeight="1" x14ac:dyDescent="0.2"/>
    <row r="261" ht="17.25" customHeight="1" x14ac:dyDescent="0.2"/>
    <row r="262" ht="17.25" customHeight="1" x14ac:dyDescent="0.2"/>
    <row r="263" ht="17.25" customHeight="1" x14ac:dyDescent="0.2"/>
    <row r="264" ht="17.25" customHeight="1" x14ac:dyDescent="0.2"/>
    <row r="265" ht="17.25" customHeight="1" x14ac:dyDescent="0.2"/>
    <row r="266" ht="17.25" customHeight="1" x14ac:dyDescent="0.2"/>
    <row r="267" ht="17.25" customHeight="1" x14ac:dyDescent="0.2"/>
    <row r="268" ht="17.25" customHeight="1" x14ac:dyDescent="0.2"/>
    <row r="269" ht="17.25" customHeight="1" x14ac:dyDescent="0.2"/>
    <row r="270" ht="17.25" customHeight="1" x14ac:dyDescent="0.2"/>
    <row r="271" ht="17.25" customHeight="1" x14ac:dyDescent="0.2"/>
    <row r="272" ht="17.25" customHeight="1" x14ac:dyDescent="0.2"/>
    <row r="273" ht="17.25" customHeight="1" x14ac:dyDescent="0.2"/>
    <row r="274" ht="17.25" customHeight="1" x14ac:dyDescent="0.2"/>
    <row r="275" ht="17.25" customHeight="1" x14ac:dyDescent="0.2"/>
    <row r="276" ht="17.25" customHeight="1" x14ac:dyDescent="0.2"/>
    <row r="277" ht="17.25" customHeight="1" x14ac:dyDescent="0.2"/>
  </sheetData>
  <mergeCells count="77">
    <mergeCell ref="B3:H3"/>
    <mergeCell ref="B4:H4"/>
    <mergeCell ref="B5:H5"/>
    <mergeCell ref="B6:H6"/>
    <mergeCell ref="B7:H7"/>
    <mergeCell ref="I3:N3"/>
    <mergeCell ref="I4:N4"/>
    <mergeCell ref="I5:N5"/>
    <mergeCell ref="I6:N6"/>
    <mergeCell ref="I7:N7"/>
    <mergeCell ref="F30:G31"/>
    <mergeCell ref="F32:G33"/>
    <mergeCell ref="B18:E19"/>
    <mergeCell ref="I8:N8"/>
    <mergeCell ref="I9:N9"/>
    <mergeCell ref="I10:N10"/>
    <mergeCell ref="I11:N11"/>
    <mergeCell ref="I12:N12"/>
    <mergeCell ref="I13:N13"/>
    <mergeCell ref="B9:H9"/>
    <mergeCell ref="B10:H10"/>
    <mergeCell ref="B11:H11"/>
    <mergeCell ref="B12:H12"/>
    <mergeCell ref="B13:H13"/>
    <mergeCell ref="B8:H8"/>
    <mergeCell ref="L26:M27"/>
    <mergeCell ref="F34:G35"/>
    <mergeCell ref="H19:I19"/>
    <mergeCell ref="H20:I21"/>
    <mergeCell ref="H22:I23"/>
    <mergeCell ref="H24:I25"/>
    <mergeCell ref="H26:I27"/>
    <mergeCell ref="H28:I29"/>
    <mergeCell ref="H30:I31"/>
    <mergeCell ref="H32:I33"/>
    <mergeCell ref="H34:I35"/>
    <mergeCell ref="F19:G19"/>
    <mergeCell ref="F20:G21"/>
    <mergeCell ref="F22:G23"/>
    <mergeCell ref="F24:G25"/>
    <mergeCell ref="F26:G27"/>
    <mergeCell ref="F28:G29"/>
    <mergeCell ref="L28:M29"/>
    <mergeCell ref="L30:M31"/>
    <mergeCell ref="J19:K19"/>
    <mergeCell ref="J20:K21"/>
    <mergeCell ref="J22:K23"/>
    <mergeCell ref="J24:K25"/>
    <mergeCell ref="J26:K27"/>
    <mergeCell ref="J28:K29"/>
    <mergeCell ref="L32:M33"/>
    <mergeCell ref="L34:M35"/>
    <mergeCell ref="F18:M18"/>
    <mergeCell ref="B15:M17"/>
    <mergeCell ref="B22:C23"/>
    <mergeCell ref="B20:C21"/>
    <mergeCell ref="B24:C25"/>
    <mergeCell ref="B26:C27"/>
    <mergeCell ref="B28:C29"/>
    <mergeCell ref="J30:K31"/>
    <mergeCell ref="J32:K33"/>
    <mergeCell ref="J34:K35"/>
    <mergeCell ref="L19:M19"/>
    <mergeCell ref="L20:M21"/>
    <mergeCell ref="L22:M23"/>
    <mergeCell ref="L24:M25"/>
    <mergeCell ref="D34:E35"/>
    <mergeCell ref="B30:C31"/>
    <mergeCell ref="B32:C33"/>
    <mergeCell ref="B34:C35"/>
    <mergeCell ref="D20:E21"/>
    <mergeCell ref="D22:E23"/>
    <mergeCell ref="D24:E25"/>
    <mergeCell ref="D26:E27"/>
    <mergeCell ref="D28:E29"/>
    <mergeCell ref="D30:E31"/>
    <mergeCell ref="D32:E33"/>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2AD2E-FCEC-4014-AB75-0A5311F8B37F}">
  <sheetPr codeName="Sheet8">
    <tabColor rgb="FFF9AE2D"/>
  </sheetPr>
  <dimension ref="A2:T17"/>
  <sheetViews>
    <sheetView showGridLines="0" tabSelected="1" topLeftCell="A6" zoomScale="130" zoomScaleNormal="130" workbookViewId="0">
      <selection activeCell="A17" sqref="A17:XFD17"/>
    </sheetView>
  </sheetViews>
  <sheetFormatPr baseColWidth="10" defaultColWidth="8.6640625" defaultRowHeight="15" x14ac:dyDescent="0.2"/>
  <sheetData>
    <row r="2" spans="1:20" ht="66" customHeight="1" x14ac:dyDescent="0.2">
      <c r="C2" s="86" t="s">
        <v>66</v>
      </c>
      <c r="D2" s="86"/>
      <c r="E2" s="86"/>
      <c r="F2" s="86"/>
      <c r="G2" s="86"/>
      <c r="H2" s="86"/>
      <c r="I2" s="86"/>
      <c r="J2" s="86"/>
      <c r="K2" s="86"/>
      <c r="L2" s="86"/>
    </row>
    <row r="3" spans="1:20" ht="50.25" customHeight="1" x14ac:dyDescent="0.2">
      <c r="A3" s="74" t="s">
        <v>67</v>
      </c>
      <c r="B3" s="75"/>
      <c r="C3" s="75"/>
      <c r="D3" s="75"/>
      <c r="E3" s="75"/>
      <c r="F3" s="75"/>
      <c r="G3" s="75"/>
      <c r="H3" s="75"/>
      <c r="I3" s="75"/>
      <c r="J3" s="75"/>
      <c r="K3" s="75"/>
      <c r="L3" s="75"/>
      <c r="M3" s="75"/>
      <c r="N3" s="75"/>
      <c r="O3" s="76"/>
    </row>
    <row r="4" spans="1:20" ht="70" customHeight="1" x14ac:dyDescent="0.2">
      <c r="A4" s="87" t="s">
        <v>68</v>
      </c>
      <c r="B4" s="87"/>
      <c r="C4" s="87"/>
      <c r="D4" s="64" t="s">
        <v>261</v>
      </c>
      <c r="E4" s="64"/>
      <c r="F4" s="64"/>
      <c r="G4" s="64"/>
      <c r="H4" s="87" t="s">
        <v>70</v>
      </c>
      <c r="I4" s="87"/>
      <c r="J4" s="87"/>
      <c r="K4" s="71" t="s">
        <v>228</v>
      </c>
      <c r="L4" s="71"/>
      <c r="M4" s="71"/>
      <c r="N4" s="71"/>
      <c r="O4" s="71"/>
    </row>
    <row r="5" spans="1:20" ht="70" customHeight="1" x14ac:dyDescent="0.2">
      <c r="A5" s="72" t="s">
        <v>72</v>
      </c>
      <c r="B5" s="94"/>
      <c r="C5" s="73"/>
      <c r="D5" s="61" t="s">
        <v>73</v>
      </c>
      <c r="E5" s="62"/>
      <c r="F5" s="62"/>
      <c r="G5" s="62"/>
      <c r="H5" s="55" t="s">
        <v>74</v>
      </c>
      <c r="I5" s="56"/>
      <c r="J5" s="57"/>
      <c r="K5" s="91" t="s">
        <v>228</v>
      </c>
      <c r="L5" s="92"/>
      <c r="M5" s="92"/>
      <c r="N5" s="92"/>
      <c r="O5" s="93"/>
      <c r="T5" s="28"/>
    </row>
    <row r="6" spans="1:20" ht="70" customHeight="1" x14ac:dyDescent="0.2">
      <c r="A6" s="72" t="s">
        <v>75</v>
      </c>
      <c r="B6" s="94"/>
      <c r="C6" s="73"/>
      <c r="D6" s="61" t="s">
        <v>71</v>
      </c>
      <c r="E6" s="62"/>
      <c r="F6" s="62"/>
      <c r="G6" s="62"/>
      <c r="H6" s="87" t="s">
        <v>77</v>
      </c>
      <c r="I6" s="87"/>
      <c r="J6" s="87"/>
      <c r="K6" s="69" t="s">
        <v>71</v>
      </c>
      <c r="L6" s="69"/>
      <c r="M6" s="69"/>
      <c r="N6" s="69"/>
      <c r="O6" s="70"/>
    </row>
    <row r="7" spans="1:20" ht="70" customHeight="1" x14ac:dyDescent="0.2">
      <c r="A7" s="72" t="s">
        <v>78</v>
      </c>
      <c r="B7" s="94"/>
      <c r="C7" s="73"/>
      <c r="D7" s="61" t="s">
        <v>79</v>
      </c>
      <c r="E7" s="62"/>
      <c r="F7" s="62"/>
      <c r="G7" s="63"/>
      <c r="H7" s="87" t="s">
        <v>80</v>
      </c>
      <c r="I7" s="87"/>
      <c r="J7" s="87"/>
      <c r="K7" s="69" t="s">
        <v>228</v>
      </c>
      <c r="L7" s="69"/>
      <c r="M7" s="69"/>
      <c r="N7" s="69"/>
      <c r="O7" s="70"/>
    </row>
    <row r="8" spans="1:20" ht="30" customHeight="1" x14ac:dyDescent="0.2">
      <c r="A8" s="77" t="s">
        <v>81</v>
      </c>
      <c r="B8" s="77"/>
      <c r="C8" s="78"/>
      <c r="D8" s="81" t="s">
        <v>305</v>
      </c>
      <c r="E8" s="81"/>
      <c r="F8" s="81"/>
      <c r="H8" s="82" t="s">
        <v>306</v>
      </c>
      <c r="I8" s="82"/>
      <c r="J8" s="82"/>
      <c r="K8" s="82"/>
      <c r="L8" s="82"/>
      <c r="M8" s="82"/>
      <c r="N8" s="82"/>
      <c r="O8" s="83"/>
    </row>
    <row r="9" spans="1:20" ht="20" customHeight="1" x14ac:dyDescent="0.2">
      <c r="A9" s="79"/>
      <c r="B9" s="79"/>
      <c r="C9" s="80"/>
      <c r="D9" s="81" t="s">
        <v>82</v>
      </c>
      <c r="E9" s="81"/>
      <c r="F9" s="81"/>
      <c r="H9" s="84" t="s">
        <v>83</v>
      </c>
      <c r="I9" s="84"/>
      <c r="J9" s="84"/>
      <c r="K9" s="84"/>
      <c r="L9" s="84"/>
      <c r="M9" s="84"/>
      <c r="N9" s="84"/>
      <c r="O9" s="85"/>
    </row>
    <row r="10" spans="1:20" ht="50.25" customHeight="1" x14ac:dyDescent="0.2">
      <c r="A10" s="95" t="s">
        <v>84</v>
      </c>
      <c r="B10" s="96"/>
      <c r="C10" s="96"/>
      <c r="D10" s="96"/>
      <c r="E10" s="96"/>
      <c r="F10" s="96"/>
      <c r="G10" s="97"/>
      <c r="H10" s="97"/>
      <c r="I10" s="97"/>
      <c r="J10" s="97"/>
      <c r="K10" s="97"/>
      <c r="L10" s="97"/>
      <c r="M10" s="97"/>
      <c r="N10" s="97"/>
      <c r="O10" s="98"/>
    </row>
    <row r="11" spans="1:20" ht="102.75" customHeight="1" x14ac:dyDescent="0.2">
      <c r="A11" s="68" t="s">
        <v>85</v>
      </c>
      <c r="B11" s="68"/>
      <c r="C11" s="68"/>
      <c r="D11" s="64" t="s">
        <v>228</v>
      </c>
      <c r="E11" s="64"/>
      <c r="F11" s="64"/>
      <c r="G11" s="64"/>
      <c r="H11" s="68" t="s">
        <v>86</v>
      </c>
      <c r="I11" s="68"/>
      <c r="J11" s="68"/>
      <c r="K11" s="64" t="s">
        <v>229</v>
      </c>
      <c r="L11" s="64"/>
      <c r="M11" s="64"/>
      <c r="N11" s="64"/>
      <c r="O11" s="64"/>
    </row>
    <row r="12" spans="1:20" ht="90" customHeight="1" x14ac:dyDescent="0.2">
      <c r="A12" s="65" t="s">
        <v>87</v>
      </c>
      <c r="B12" s="66"/>
      <c r="C12" s="67"/>
      <c r="D12" s="61" t="s">
        <v>229</v>
      </c>
      <c r="E12" s="62"/>
      <c r="F12" s="62"/>
      <c r="G12" s="63"/>
      <c r="H12" s="65" t="s">
        <v>89</v>
      </c>
      <c r="I12" s="66"/>
      <c r="J12" s="67"/>
      <c r="K12" s="61" t="s">
        <v>90</v>
      </c>
      <c r="L12" s="62"/>
      <c r="M12" s="62"/>
      <c r="N12" s="62"/>
      <c r="O12" s="63"/>
    </row>
    <row r="13" spans="1:20" ht="90" customHeight="1" x14ac:dyDescent="0.2">
      <c r="A13" s="65" t="s">
        <v>91</v>
      </c>
      <c r="B13" s="66"/>
      <c r="C13" s="67"/>
      <c r="D13" s="61" t="s">
        <v>229</v>
      </c>
      <c r="E13" s="62"/>
      <c r="F13" s="62"/>
      <c r="G13" s="63"/>
      <c r="H13" s="65" t="s">
        <v>93</v>
      </c>
      <c r="I13" s="66"/>
      <c r="J13" s="67"/>
      <c r="K13" s="61" t="s">
        <v>94</v>
      </c>
      <c r="L13" s="62"/>
      <c r="M13" s="62"/>
      <c r="N13" s="62"/>
      <c r="O13" s="63"/>
    </row>
    <row r="14" spans="1:20" ht="90" customHeight="1" x14ac:dyDescent="0.2">
      <c r="A14" s="65" t="s">
        <v>95</v>
      </c>
      <c r="B14" s="66"/>
      <c r="C14" s="67"/>
      <c r="D14" s="61" t="s">
        <v>229</v>
      </c>
      <c r="E14" s="62"/>
      <c r="F14" s="62"/>
      <c r="G14" s="63"/>
      <c r="H14" s="65" t="s">
        <v>97</v>
      </c>
      <c r="I14" s="66"/>
      <c r="J14" s="67"/>
      <c r="K14" s="61"/>
      <c r="L14" s="62"/>
      <c r="M14" s="62"/>
      <c r="N14" s="62"/>
      <c r="O14" s="63"/>
    </row>
    <row r="15" spans="1:20" ht="50.25" customHeight="1" x14ac:dyDescent="0.2">
      <c r="A15" s="88" t="s">
        <v>98</v>
      </c>
      <c r="B15" s="88"/>
      <c r="C15" s="88"/>
      <c r="D15" s="88"/>
      <c r="E15" s="88"/>
      <c r="F15" s="88"/>
      <c r="G15" s="59" t="s">
        <v>221</v>
      </c>
      <c r="H15" s="59"/>
      <c r="I15" s="59"/>
      <c r="J15" s="59"/>
      <c r="K15" s="59"/>
      <c r="L15" s="59"/>
      <c r="M15" s="59"/>
      <c r="N15" s="59"/>
      <c r="O15" s="60"/>
    </row>
    <row r="16" spans="1:20" ht="50.25" customHeight="1" x14ac:dyDescent="0.2">
      <c r="A16" s="88" t="s">
        <v>304</v>
      </c>
      <c r="B16" s="88"/>
      <c r="C16" s="88"/>
      <c r="D16" s="88"/>
      <c r="E16" s="88"/>
      <c r="F16" s="88"/>
      <c r="G16" s="58" t="s">
        <v>99</v>
      </c>
      <c r="H16" s="59"/>
      <c r="I16" s="59"/>
      <c r="J16" s="59"/>
      <c r="K16" s="59"/>
      <c r="L16" s="59"/>
      <c r="M16" s="59"/>
      <c r="N16" s="59"/>
      <c r="O16" s="60"/>
    </row>
    <row r="17" spans="1:15" s="29" customFormat="1" ht="50.25" customHeight="1" x14ac:dyDescent="0.2">
      <c r="A17" s="89" t="s">
        <v>100</v>
      </c>
      <c r="B17" s="90"/>
      <c r="C17" s="90"/>
      <c r="D17" s="90"/>
      <c r="E17" s="90"/>
      <c r="F17" s="90"/>
      <c r="G17" s="90"/>
      <c r="H17" s="90"/>
      <c r="I17" s="90"/>
      <c r="J17" s="90"/>
      <c r="K17" s="90"/>
      <c r="L17" s="90"/>
      <c r="M17" s="90"/>
      <c r="N17" s="90"/>
      <c r="O17" s="90"/>
    </row>
  </sheetData>
  <sheetProtection algorithmName="SHA-512" hashValue="Xbd9ELYgv7G2Ff7j0wKHZrJ2MO2VrS3RQ4ko1R0xuOfBsz4KVSBkF+VmHs/WMsAxGXXWwVLpNNOMy2+H5qXmDA==" saltValue="UYSptmhr/p+KLlkxGwfL3w==" spinCount="100000" sheet="1" objects="1" scenarios="1"/>
  <mergeCells count="45">
    <mergeCell ref="A10:O10"/>
    <mergeCell ref="A12:C12"/>
    <mergeCell ref="K12:O12"/>
    <mergeCell ref="H7:J7"/>
    <mergeCell ref="G15:O15"/>
    <mergeCell ref="A15:F15"/>
    <mergeCell ref="K13:O13"/>
    <mergeCell ref="K14:O14"/>
    <mergeCell ref="A17:O17"/>
    <mergeCell ref="A16:F16"/>
    <mergeCell ref="G16:O16"/>
    <mergeCell ref="A14:C14"/>
    <mergeCell ref="A13:C13"/>
    <mergeCell ref="D13:G13"/>
    <mergeCell ref="D14:G14"/>
    <mergeCell ref="H13:J13"/>
    <mergeCell ref="H14:J14"/>
    <mergeCell ref="C2:L2"/>
    <mergeCell ref="A4:C4"/>
    <mergeCell ref="D4:G4"/>
    <mergeCell ref="K4:O4"/>
    <mergeCell ref="H6:J6"/>
    <mergeCell ref="K6:O6"/>
    <mergeCell ref="K5:O5"/>
    <mergeCell ref="H4:J4"/>
    <mergeCell ref="A5:C5"/>
    <mergeCell ref="A6:C6"/>
    <mergeCell ref="D5:G5"/>
    <mergeCell ref="D6:G6"/>
    <mergeCell ref="K7:O7"/>
    <mergeCell ref="H5:J5"/>
    <mergeCell ref="A3:O3"/>
    <mergeCell ref="D12:G12"/>
    <mergeCell ref="H12:J12"/>
    <mergeCell ref="A11:C11"/>
    <mergeCell ref="A8:C9"/>
    <mergeCell ref="D8:F8"/>
    <mergeCell ref="D9:F9"/>
    <mergeCell ref="H8:O8"/>
    <mergeCell ref="H9:O9"/>
    <mergeCell ref="A7:C7"/>
    <mergeCell ref="D7:G7"/>
    <mergeCell ref="D11:G11"/>
    <mergeCell ref="H11:J11"/>
    <mergeCell ref="K11:O11"/>
  </mergeCells>
  <dataValidations xWindow="916" yWindow="594" count="3">
    <dataValidation allowBlank="1" showInputMessage="1" showErrorMessage="1" promptTitle="The risk differential " sqref="A7:C7" xr:uid="{EBC31FD7-039D-4BC8-9519-DB7A39632415}"/>
    <dataValidation allowBlank="1" showInputMessage="1" showErrorMessage="1" promptTitle="Free text box" prompt="Record here any additional matters relevant to the risk assessment that may influence the way the risk is percieved. " sqref="K14:O14" xr:uid="{65687614-5014-4396-B283-FA03202788E3}"/>
    <dataValidation allowBlank="1" showInputMessage="1" showErrorMessage="1" prompt="Decisions on whether action is required to deal with a particular risk, and the nature of the action, should not usually be made purely on the basis of the level of the risk involved. Other factors may need to be taken into account as highlighted below. " sqref="A3:O3" xr:uid="{C1D1AA5C-1071-4561-84A8-B46B797942F0}"/>
  </dataValidations>
  <hyperlinks>
    <hyperlink ref="A17:O17" r:id="rId1" display="https://www.product-safety-database.service.gov.uk/sign-in" xr:uid="{751395CC-D45B-41F8-BE31-E03569EEEFE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1269" r:id="rId5" name="Check Box 5">
              <controlPr defaultSize="0" autoFill="0" autoLine="0" autoPict="0">
                <anchor moveWithCells="1">
                  <from>
                    <xdr:col>5</xdr:col>
                    <xdr:colOff>279400</xdr:colOff>
                    <xdr:row>7</xdr:row>
                    <xdr:rowOff>38100</xdr:rowOff>
                  </from>
                  <to>
                    <xdr:col>6</xdr:col>
                    <xdr:colOff>38100</xdr:colOff>
                    <xdr:row>7</xdr:row>
                    <xdr:rowOff>266700</xdr:rowOff>
                  </to>
                </anchor>
              </controlPr>
            </control>
          </mc:Choice>
        </mc:AlternateContent>
        <mc:AlternateContent xmlns:mc="http://schemas.openxmlformats.org/markup-compatibility/2006">
          <mc:Choice Requires="x14">
            <control shapeId="11271" r:id="rId6" name="Check Box 7">
              <controlPr defaultSize="0" autoFill="0" autoLine="0" autoPict="0">
                <anchor moveWithCells="1">
                  <from>
                    <xdr:col>10</xdr:col>
                    <xdr:colOff>38100</xdr:colOff>
                    <xdr:row>8</xdr:row>
                    <xdr:rowOff>12700</xdr:rowOff>
                  </from>
                  <to>
                    <xdr:col>10</xdr:col>
                    <xdr:colOff>279400</xdr:colOff>
                    <xdr:row>8</xdr:row>
                    <xdr:rowOff>228600</xdr:rowOff>
                  </to>
                </anchor>
              </controlPr>
            </control>
          </mc:Choice>
        </mc:AlternateContent>
        <mc:AlternateContent xmlns:mc="http://schemas.openxmlformats.org/markup-compatibility/2006">
          <mc:Choice Requires="x14">
            <control shapeId="11272" r:id="rId7" name="Check Box 8">
              <controlPr defaultSize="0" autoFill="0" autoLine="0" autoPict="0">
                <anchor moveWithCells="1">
                  <from>
                    <xdr:col>10</xdr:col>
                    <xdr:colOff>50800</xdr:colOff>
                    <xdr:row>7</xdr:row>
                    <xdr:rowOff>38100</xdr:rowOff>
                  </from>
                  <to>
                    <xdr:col>10</xdr:col>
                    <xdr:colOff>419100</xdr:colOff>
                    <xdr:row>7</xdr:row>
                    <xdr:rowOff>279400</xdr:rowOff>
                  </to>
                </anchor>
              </controlPr>
            </control>
          </mc:Choice>
        </mc:AlternateContent>
        <mc:AlternateContent xmlns:mc="http://schemas.openxmlformats.org/markup-compatibility/2006">
          <mc:Choice Requires="x14">
            <control shapeId="11273" r:id="rId8" name="Check Box 9">
              <controlPr defaultSize="0" autoFill="0" autoLine="0" autoPict="0">
                <anchor moveWithCells="1">
                  <from>
                    <xdr:col>5</xdr:col>
                    <xdr:colOff>292100</xdr:colOff>
                    <xdr:row>8</xdr:row>
                    <xdr:rowOff>0</xdr:rowOff>
                  </from>
                  <to>
                    <xdr:col>6</xdr:col>
                    <xdr:colOff>38100</xdr:colOff>
                    <xdr:row>8</xdr:row>
                    <xdr:rowOff>241300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916" yWindow="594" count="17">
        <x14:dataValidation type="list" allowBlank="1" showInputMessage="1" showErrorMessage="1" promptTitle="PRISM Part 1, s3.2 " prompt="Risks over which people cannot exercise any control, on becoming aware that the risk exists, are more likely to be intolerable than those over which there is oppurtunity to exercise a degree of control. " xr:uid="{B9DF29DB-CB47-4D7F-8DB2-D02723531F87}">
          <x14:formula1>
            <xm:f>'HIDE scores for PRISM'!$AE$1:$AE$4</xm:f>
          </x14:formula1>
          <xm:sqref>K13:O13</xm:sqref>
        </x14:dataValidation>
        <x14:dataValidation type="list" allowBlank="1" showInputMessage="1" showErrorMessage="1" promptTitle="PRISM Part 1, s3.2 " prompt="Some products are designed to provide a protective function when certain circumstances arise. There is generally a low tolerability of defects in these products given their function is to prevent harm and increase safety. See also relative risk Part 2(6)" xr:uid="{1DD6C9FB-139D-4477-BB9C-782440224740}">
          <x14:formula1>
            <xm:f>'HIDE scores for PRISM'!$AD$1:$AD$3</xm:f>
          </x14:formula1>
          <xm:sqref>D13:G13</xm:sqref>
        </x14:dataValidation>
        <x14:dataValidation type="list" allowBlank="1" showInputMessage="1" showErrorMessage="1" promptTitle="PRISM Part 1, s3.2 " prompt="There is generally a low tolerance towards any risks presented by products aimed at vulnerable users. " xr:uid="{0F56F270-43E9-43F7-A5D9-4914D2D291A3}">
          <x14:formula1>
            <xm:f>'HIDE scores for PRISM'!$AC$1:$AC$3</xm:f>
          </x14:formula1>
          <xm:sqref>K12:O12</xm:sqref>
        </x14:dataValidation>
        <x14:dataValidation type="list" allowBlank="1" showInputMessage="1" showErrorMessage="1" promptTitle="PRISM Part 1, s3.2" prompt="Risks that can cause harm to people who are not the users of the product are more likely to be seen as intolerable. " xr:uid="{2E639B1D-60E8-4CA7-9E7B-50BA216D8F0B}">
          <x14:formula1>
            <xm:f>'HIDE scores for PRISM'!$AB$1:$AB$3</xm:f>
          </x14:formula1>
          <xm:sqref>D12:G12</xm:sqref>
        </x14:dataValidation>
        <x14:dataValidation type="list" allowBlank="1" showInputMessage="1" showErrorMessage="1" promptTitle="PRISM Part 1, s3.2" prompt="High severity low likelihood risks tend to be less tolerable than low severity high likelihood risks, particularly where there is clear scope for risk management action to be taken that would reduce the probability of harm still further. " xr:uid="{021082FE-FA03-4F6F-AF9F-A35C37F878AC}">
          <x14:formula1>
            <xm:f>'HIDE scores for PRISM'!$AA$1:$AA$3</xm:f>
          </x14:formula1>
          <xm:sqref>K11:O11</xm:sqref>
        </x14:dataValidation>
        <x14:dataValidation type="list" allowBlank="1" showInputMessage="1" showErrorMessage="1" promptTitle="PRISM Part 1, s3.2" prompt="Where there are other unrelated causes of the type of harm featured in the assessment, such as other potential causes of a fire, the assessor should consider assessing the overall fire risk associated with the product" xr:uid="{B9B08EDA-9F23-4588-BD81-87B2815FBF7B}">
          <x14:formula1>
            <xm:f>'HIDE scores for PRISM'!$AG$1:$AG$3</xm:f>
          </x14:formula1>
          <xm:sqref>D11:G11</xm:sqref>
        </x14:dataValidation>
        <x14:dataValidation type="list" allowBlank="1" showInputMessage="1" showErrorMessage="1" promptTitle="PRISM Part 1, s3.1 " prompt="It may be the case that other MSAs or other organisations with an interest in the particular risk are taking or planning to take risk management action to address it. The implications of this should be considered. " xr:uid="{FFCBF319-9354-4FF6-B529-F42B44AE6BC5}">
          <x14:formula1>
            <xm:f>'HIDE scores for PRISM'!$Y$1:$Y$4</xm:f>
          </x14:formula1>
          <xm:sqref>D7:G7</xm:sqref>
        </x14:dataValidation>
        <x14:dataValidation type="list" allowBlank="1" showInputMessage="1" showErrorMessage="1" promptTitle="PRISM Part 1, s3.1 " prompt="For many products, the level of risk they present when fully compliant will be very low or negligible. Other products, even when fully compliant, may still involve a substantive level of risk when used, e.g. ladders and trampolines. " xr:uid="{F2404BFD-A7B9-4C73-A719-DF7B729CC8B8}">
          <x14:formula1>
            <xm:f>'HIDE scores for PRISM'!$X$1:$X$4</xm:f>
          </x14:formula1>
          <xm:sqref>D6:G6</xm:sqref>
        </x14:dataValidation>
        <x14:dataValidation type="list" allowBlank="1" showInputMessage="1" showErrorMessage="1" promptTitle="PRISM Part 1, s3.1 " prompt="An incident in which numerous people are injured is obviously a more serious outcome than a single person being injured, other things being equal, particularly when fatal injuries are involved.  " xr:uid="{4F96EE5A-D1AB-4540-8EE7-1FAA9E48AA95}">
          <x14:formula1>
            <xm:f>'HIDE scores for PRISM'!$H$1:$H$4</xm:f>
          </x14:formula1>
          <xm:sqref>K5:O5</xm:sqref>
        </x14:dataValidation>
        <x14:dataValidation type="list" allowBlank="1" showInputMessage="1" showErrorMessage="1" promptTitle="PRISM Part 1, s3.1 " prompt="Comparing the level of assessed risk with the level of risk presented by similar and comparable products can in some circumstances assist the assessor when considering whether and what corrective action is justified. " xr:uid="{E2BF7790-5461-4835-90CF-F8FA5D5F12CF}">
          <x14:formula1>
            <xm:f>'HIDE scores for PRISM'!$W$1:$W$5</xm:f>
          </x14:formula1>
          <xm:sqref>D5:G5</xm:sqref>
        </x14:dataValidation>
        <x14:dataValidation type="list" allowBlank="1" showInputMessage="1" showErrorMessage="1" promptTitle="PRISM Part 1, s3.1 " prompt="The higher the level of uncertainty in the risk assessment findings, the more relevant the issue will be at the risk evaluation stage. The assessor will need to consider the implications of the level of uncertainty for risk management decisions. " xr:uid="{EC959858-8250-4B4F-97F6-44B66351F6E2}">
          <x14:formula1>
            <xm:f>'HIDE scores for PRISM'!$S$1:$S$3</xm:f>
          </x14:formula1>
          <xm:sqref>K4:O4</xm:sqref>
        </x14:dataValidation>
        <x14:dataValidation type="list" allowBlank="1" showInputMessage="1" showErrorMessage="1" promptTitle="PRISM Part 1, s3.1 " prompt="The number of products estimated to be in use might be expected to rise, fall, or stay roughly constant in the short or medium term. Any expected significant changes in the number of products in use could have relevance to the need for risk management. " xr:uid="{7D0D85C7-C34D-46B0-B4EE-F2B2898E8151}">
          <x14:formula1>
            <xm:f>'HIDE scores for PRISM'!$R$1:$R$5</xm:f>
          </x14:formula1>
          <xm:sqref>D4:G4</xm:sqref>
        </x14:dataValidation>
        <x14:dataValidation type="list" allowBlank="1" showInputMessage="1" showErrorMessage="1" promptTitle="PRISM Part 1, s3.2 " prompt="Risks that feature heavily in the media, whether mainstream or social media, are as a result more likely to be seen as intolerable. " xr:uid="{46CE2066-3A5B-440F-9576-B6F0F27312B6}">
          <x14:formula1>
            <xm:f>'HIDE scores for PRISM'!$AF$1:$AF$4</xm:f>
          </x14:formula1>
          <xm:sqref>D14:G14</xm:sqref>
        </x14:dataValidation>
        <x14:dataValidation type="list" allowBlank="1" showInputMessage="1" showErrorMessage="1" promptTitle="PRISM Part 1, s3.1 " prompt="Where the assessment indicates that certain people will be at increased risk, this should be noted because it could mean that bespoke risk management action will be required to specifically target and protect those people. " xr:uid="{7C130933-44F7-4A76-8EC5-E778056C9880}">
          <x14:formula1>
            <xm:f>'HIDE scores for PRISM'!$AG$1:$AG$3</xm:f>
          </x14:formula1>
          <xm:sqref>K6:O6</xm:sqref>
        </x14:dataValidation>
        <x14:dataValidation type="list" allowBlank="1" showInputMessage="1" showErrorMessage="1" promptTitle="Additional factors" prompt="In addition to the matters covered in this toolkit, there may be other relevant factors that relate to the nature of the risk that are important to take account of when determining next steps. " xr:uid="{021F4187-A4F0-4BCD-822A-FBE645991E95}">
          <x14:formula1>
            <xm:f>'HIDE scores for PRISM'!$AG$1:$AG$3</xm:f>
          </x14:formula1>
          <xm:sqref>K7:O7</xm:sqref>
        </x14:dataValidation>
        <x14:dataValidation type="list" allowBlank="1" showInputMessage="1" showErrorMessage="1" promptTitle="PRISM Part 1, s3.2 " prompt="Indicate here whether the risk is tolerable or intolerable. It may be the case further investigation work is required to enable a more informed position to be taken on tolerability and this should be recorded. " xr:uid="{20292389-E0EB-4494-B174-CDFF76755C8F}">
          <x14:formula1>
            <xm:f>'HIDE scores for PRISM'!$J$1:$J$3</xm:f>
          </x14:formula1>
          <xm:sqref>G16</xm:sqref>
        </x14:dataValidation>
        <x14:dataValidation type="list" allowBlank="1" showInputMessage="1" showErrorMessage="1" promptTitle="PRISM Part 1, s3 Risk Evaluation" prompt="Decisions on whether action is required to deal with a particular risk, and the nature of the action, should not usually be made purely on the basis of the level of risk involved and may need to take account of factors highlighted above. " xr:uid="{7A239222-2FC3-4210-91AC-EFA1044C00BD}">
          <x14:formula1>
            <xm:f>'HIDE scores for PRISM'!$K$1:$K$3</xm:f>
          </x14:formula1>
          <xm:sqref>G15:O15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9809D-1404-4E83-8747-37B0DF9DEC5C}">
  <sheetPr codeName="Sheet6">
    <tabColor rgb="FF7030A0"/>
  </sheetPr>
  <dimension ref="A1:AD105"/>
  <sheetViews>
    <sheetView zoomScale="60" zoomScaleNormal="60" workbookViewId="0">
      <selection activeCell="C21" sqref="C21"/>
    </sheetView>
  </sheetViews>
  <sheetFormatPr baseColWidth="10" defaultColWidth="8.6640625" defaultRowHeight="15" x14ac:dyDescent="0.2"/>
  <cols>
    <col min="1" max="1" width="104.33203125" style="2" customWidth="1"/>
    <col min="2" max="2" width="12.5" style="2" customWidth="1"/>
    <col min="3" max="3" width="40.6640625" style="2" bestFit="1" customWidth="1"/>
    <col min="4" max="5" width="8.6640625" style="2"/>
    <col min="6" max="6" width="15.1640625" style="2" customWidth="1"/>
    <col min="7" max="7" width="11.1640625" style="2" customWidth="1"/>
    <col min="8" max="8" width="15.83203125" style="2" customWidth="1"/>
    <col min="9" max="21" width="8.6640625" style="2"/>
    <col min="22" max="22" width="6.83203125" style="2" customWidth="1"/>
    <col min="23" max="23" width="10.6640625" style="2" customWidth="1"/>
    <col min="24" max="24" width="110.1640625" style="2" customWidth="1"/>
    <col min="25" max="25" width="17.5" style="2" customWidth="1"/>
    <col min="26" max="26" width="16.33203125" style="2" customWidth="1"/>
    <col min="27" max="27" width="14.6640625" style="2" customWidth="1"/>
    <col min="28" max="28" width="14.83203125" style="2" customWidth="1"/>
    <col min="29" max="29" width="14.1640625" style="2" customWidth="1"/>
    <col min="30" max="30" width="17" style="2" customWidth="1"/>
    <col min="31" max="16384" width="8.6640625" style="2"/>
  </cols>
  <sheetData>
    <row r="1" spans="1:12" x14ac:dyDescent="0.2">
      <c r="A1" s="2" t="s">
        <v>101</v>
      </c>
      <c r="B1" s="2" t="s">
        <v>102</v>
      </c>
    </row>
    <row r="2" spans="1:12" x14ac:dyDescent="0.2">
      <c r="A2" s="2" t="s">
        <v>133</v>
      </c>
      <c r="B2" s="2">
        <v>-100</v>
      </c>
    </row>
    <row r="3" spans="1:12" x14ac:dyDescent="0.2">
      <c r="A3" s="2" t="s">
        <v>103</v>
      </c>
      <c r="B3" s="2">
        <v>0</v>
      </c>
    </row>
    <row r="4" spans="1:12" x14ac:dyDescent="0.2">
      <c r="A4" s="2" t="s">
        <v>104</v>
      </c>
      <c r="B4" s="2">
        <v>0</v>
      </c>
    </row>
    <row r="5" spans="1:12" x14ac:dyDescent="0.2">
      <c r="A5" s="2" t="s">
        <v>105</v>
      </c>
      <c r="B5" s="2">
        <v>0</v>
      </c>
    </row>
    <row r="6" spans="1:12" x14ac:dyDescent="0.2">
      <c r="A6" s="2" t="s">
        <v>106</v>
      </c>
      <c r="B6" s="2">
        <v>3</v>
      </c>
    </row>
    <row r="7" spans="1:12" x14ac:dyDescent="0.2">
      <c r="A7" s="2" t="s">
        <v>107</v>
      </c>
      <c r="B7" s="2">
        <v>0</v>
      </c>
    </row>
    <row r="8" spans="1:12" x14ac:dyDescent="0.2">
      <c r="A8" s="2" t="s">
        <v>108</v>
      </c>
      <c r="B8" s="2">
        <v>5</v>
      </c>
      <c r="F8" s="2" t="s">
        <v>109</v>
      </c>
      <c r="G8" s="2" t="s">
        <v>110</v>
      </c>
    </row>
    <row r="9" spans="1:12" x14ac:dyDescent="0.2">
      <c r="A9" s="2" t="s">
        <v>111</v>
      </c>
      <c r="B9" s="2">
        <v>5</v>
      </c>
      <c r="E9" s="2" t="s">
        <v>112</v>
      </c>
      <c r="F9" s="2" t="s">
        <v>113</v>
      </c>
      <c r="G9" s="2">
        <v>50</v>
      </c>
      <c r="L9" s="2" t="e">
        <f>VLOOKUP(#REF!,Table10[],2,0)</f>
        <v>#REF!</v>
      </c>
    </row>
    <row r="10" spans="1:12" x14ac:dyDescent="0.2">
      <c r="A10" s="2" t="s">
        <v>114</v>
      </c>
      <c r="B10" s="2">
        <v>5</v>
      </c>
      <c r="E10" s="2" t="s">
        <v>115</v>
      </c>
      <c r="F10" s="2" t="s">
        <v>116</v>
      </c>
      <c r="G10" s="2" t="s">
        <v>117</v>
      </c>
    </row>
    <row r="11" spans="1:12" x14ac:dyDescent="0.2">
      <c r="A11" s="2" t="s">
        <v>118</v>
      </c>
      <c r="B11" s="2">
        <v>4</v>
      </c>
      <c r="E11" s="2" t="s">
        <v>119</v>
      </c>
      <c r="F11" s="2">
        <v>0</v>
      </c>
      <c r="G11" s="2" t="s">
        <v>120</v>
      </c>
    </row>
    <row r="12" spans="1:12" x14ac:dyDescent="0.2">
      <c r="A12" s="2" t="s">
        <v>121</v>
      </c>
      <c r="B12" s="2">
        <v>0</v>
      </c>
    </row>
    <row r="13" spans="1:12" x14ac:dyDescent="0.2">
      <c r="A13" s="2" t="s">
        <v>122</v>
      </c>
      <c r="B13" s="2">
        <v>5</v>
      </c>
    </row>
    <row r="14" spans="1:12" x14ac:dyDescent="0.2">
      <c r="A14" s="2" t="s">
        <v>123</v>
      </c>
      <c r="B14" s="2">
        <v>6</v>
      </c>
      <c r="E14" s="3"/>
      <c r="F14" s="3" t="e">
        <f>VLOOKUP(#REF!,Table5[],2,0)</f>
        <v>#REF!</v>
      </c>
      <c r="G14" s="2" t="s">
        <v>124</v>
      </c>
    </row>
    <row r="15" spans="1:12" x14ac:dyDescent="0.2">
      <c r="A15" s="2" t="s">
        <v>125</v>
      </c>
      <c r="B15" s="2">
        <v>6</v>
      </c>
      <c r="E15" s="3" t="s">
        <v>126</v>
      </c>
      <c r="F15" s="3" t="e">
        <f>VLOOKUP(#REF!,Table10[],2,0)</f>
        <v>#REF!</v>
      </c>
      <c r="G15" s="2" t="s">
        <v>127</v>
      </c>
    </row>
    <row r="16" spans="1:12" x14ac:dyDescent="0.2">
      <c r="A16" s="2" t="s">
        <v>128</v>
      </c>
      <c r="B16" s="2">
        <v>8</v>
      </c>
      <c r="E16" s="4" t="s">
        <v>126</v>
      </c>
      <c r="F16" s="5" t="e">
        <f>VLOOKUP(#REF!,'HIDE scores for TT'!A2:B19,2,0)</f>
        <v>#REF!</v>
      </c>
      <c r="G16" s="2" t="s">
        <v>129</v>
      </c>
    </row>
    <row r="17" spans="1:7" x14ac:dyDescent="0.2">
      <c r="A17" s="2" t="s">
        <v>0</v>
      </c>
      <c r="B17" s="2">
        <v>9</v>
      </c>
      <c r="E17" s="6" t="s">
        <v>126</v>
      </c>
      <c r="F17" s="3" t="e">
        <f>VLOOKUP(#REF!,Table2[],2,0)</f>
        <v>#REF!</v>
      </c>
      <c r="G17" s="2" t="s">
        <v>130</v>
      </c>
    </row>
    <row r="18" spans="1:7" x14ac:dyDescent="0.2">
      <c r="A18" s="2" t="s">
        <v>131</v>
      </c>
      <c r="B18" s="2">
        <v>10</v>
      </c>
      <c r="E18" s="6" t="s">
        <v>126</v>
      </c>
      <c r="F18" s="3" t="e">
        <f>VLOOKUP(#REF!,Table3[],2,0)</f>
        <v>#REF!</v>
      </c>
      <c r="G18" s="2" t="s">
        <v>132</v>
      </c>
    </row>
    <row r="19" spans="1:7" x14ac:dyDescent="0.2">
      <c r="E19" s="3" t="s">
        <v>134</v>
      </c>
      <c r="F19" s="3" t="e">
        <f>SUM(F14:F18)</f>
        <v>#REF!</v>
      </c>
      <c r="G19" s="2" t="s">
        <v>135</v>
      </c>
    </row>
    <row r="21" spans="1:7" x14ac:dyDescent="0.2">
      <c r="A21" s="2" t="s">
        <v>101</v>
      </c>
      <c r="B21" s="2" t="s">
        <v>102</v>
      </c>
    </row>
    <row r="22" spans="1:7" x14ac:dyDescent="0.2">
      <c r="A22" s="2" t="s">
        <v>133</v>
      </c>
      <c r="B22" s="2">
        <v>-100</v>
      </c>
    </row>
    <row r="23" spans="1:7" x14ac:dyDescent="0.2">
      <c r="A23" s="2" t="s">
        <v>136</v>
      </c>
      <c r="B23" s="2">
        <v>-100</v>
      </c>
    </row>
    <row r="24" spans="1:7" x14ac:dyDescent="0.2">
      <c r="A24" s="2" t="s">
        <v>137</v>
      </c>
      <c r="B24" s="2">
        <v>0</v>
      </c>
    </row>
    <row r="25" spans="1:7" x14ac:dyDescent="0.2">
      <c r="A25" s="7" t="s">
        <v>3</v>
      </c>
      <c r="B25" s="2">
        <v>1</v>
      </c>
    </row>
    <row r="26" spans="1:7" x14ac:dyDescent="0.2">
      <c r="A26" s="8" t="s">
        <v>138</v>
      </c>
      <c r="B26" s="2">
        <v>1</v>
      </c>
    </row>
    <row r="27" spans="1:7" x14ac:dyDescent="0.2">
      <c r="A27" s="7" t="s">
        <v>139</v>
      </c>
      <c r="B27" s="2">
        <v>2</v>
      </c>
    </row>
    <row r="33" spans="1:15" x14ac:dyDescent="0.2">
      <c r="A33" s="2" t="s">
        <v>101</v>
      </c>
      <c r="B33" s="2" t="s">
        <v>102</v>
      </c>
    </row>
    <row r="34" spans="1:15" x14ac:dyDescent="0.2">
      <c r="A34" s="2" t="s">
        <v>133</v>
      </c>
      <c r="B34" s="2">
        <v>-100</v>
      </c>
    </row>
    <row r="35" spans="1:15" x14ac:dyDescent="0.2">
      <c r="A35" s="2" t="s">
        <v>140</v>
      </c>
      <c r="B35" s="2">
        <v>-100</v>
      </c>
    </row>
    <row r="36" spans="1:15" x14ac:dyDescent="0.2">
      <c r="A36" s="2" t="s">
        <v>141</v>
      </c>
      <c r="B36" s="2">
        <v>1</v>
      </c>
    </row>
    <row r="37" spans="1:15" x14ac:dyDescent="0.2">
      <c r="A37" s="2" t="s">
        <v>1</v>
      </c>
      <c r="B37" s="2">
        <v>5</v>
      </c>
    </row>
    <row r="38" spans="1:15" x14ac:dyDescent="0.2">
      <c r="A38" s="2" t="s">
        <v>142</v>
      </c>
      <c r="B38" s="2">
        <v>15</v>
      </c>
      <c r="K38" s="99"/>
      <c r="L38" s="99"/>
      <c r="M38" s="99"/>
      <c r="N38" s="99"/>
      <c r="O38" s="99"/>
    </row>
    <row r="39" spans="1:15" x14ac:dyDescent="0.2">
      <c r="A39" s="2" t="s">
        <v>143</v>
      </c>
      <c r="B39" s="2">
        <v>20</v>
      </c>
      <c r="K39" s="9" t="s">
        <v>144</v>
      </c>
    </row>
    <row r="40" spans="1:15" x14ac:dyDescent="0.2">
      <c r="K40" s="10" t="s">
        <v>145</v>
      </c>
    </row>
    <row r="41" spans="1:15" x14ac:dyDescent="0.2">
      <c r="A41" s="2" t="s">
        <v>101</v>
      </c>
      <c r="B41" s="2" t="s">
        <v>102</v>
      </c>
      <c r="K41" s="10"/>
    </row>
    <row r="42" spans="1:15" x14ac:dyDescent="0.2">
      <c r="A42" s="2" t="s">
        <v>146</v>
      </c>
      <c r="B42" s="2">
        <v>-100</v>
      </c>
      <c r="K42" s="9" t="s">
        <v>147</v>
      </c>
    </row>
    <row r="43" spans="1:15" x14ac:dyDescent="0.2">
      <c r="A43" s="2" t="s">
        <v>148</v>
      </c>
      <c r="B43" s="2">
        <v>-100</v>
      </c>
      <c r="K43" s="10" t="s">
        <v>149</v>
      </c>
    </row>
    <row r="44" spans="1:15" x14ac:dyDescent="0.2">
      <c r="A44" s="2" t="s">
        <v>150</v>
      </c>
      <c r="B44" s="2">
        <v>0</v>
      </c>
      <c r="K44" s="9" t="s">
        <v>151</v>
      </c>
    </row>
    <row r="45" spans="1:15" x14ac:dyDescent="0.2">
      <c r="A45" s="2" t="s">
        <v>152</v>
      </c>
      <c r="B45" s="2">
        <v>1</v>
      </c>
      <c r="K45" s="10" t="s">
        <v>153</v>
      </c>
    </row>
    <row r="46" spans="1:15" x14ac:dyDescent="0.2">
      <c r="A46" s="2" t="s">
        <v>154</v>
      </c>
      <c r="B46" s="2">
        <v>3</v>
      </c>
      <c r="K46" s="9" t="s">
        <v>155</v>
      </c>
    </row>
    <row r="47" spans="1:15" x14ac:dyDescent="0.2">
      <c r="A47" s="2" t="s">
        <v>156</v>
      </c>
      <c r="B47" s="2">
        <v>5</v>
      </c>
      <c r="K47" s="10" t="s">
        <v>157</v>
      </c>
    </row>
    <row r="48" spans="1:15" x14ac:dyDescent="0.2">
      <c r="A48" s="2" t="s">
        <v>2</v>
      </c>
      <c r="B48" s="2">
        <v>8</v>
      </c>
      <c r="K48" s="9" t="s">
        <v>148</v>
      </c>
    </row>
    <row r="49" spans="1:30" x14ac:dyDescent="0.2">
      <c r="A49" s="2" t="s">
        <v>158</v>
      </c>
      <c r="B49" s="2">
        <v>10</v>
      </c>
    </row>
    <row r="50" spans="1:30" x14ac:dyDescent="0.2">
      <c r="A50" s="2" t="s">
        <v>159</v>
      </c>
      <c r="B50" s="2">
        <v>12</v>
      </c>
      <c r="Y50" s="2">
        <v>0</v>
      </c>
      <c r="Z50" s="2">
        <v>1</v>
      </c>
      <c r="AA50" s="2">
        <v>2</v>
      </c>
      <c r="AB50" s="2">
        <v>3</v>
      </c>
      <c r="AC50" s="2">
        <v>4</v>
      </c>
      <c r="AD50" s="2">
        <v>4</v>
      </c>
    </row>
    <row r="51" spans="1:30" x14ac:dyDescent="0.2">
      <c r="A51" s="2" t="s">
        <v>160</v>
      </c>
      <c r="B51" s="2">
        <v>15</v>
      </c>
      <c r="Y51" s="9" t="s">
        <v>161</v>
      </c>
      <c r="Z51" s="10" t="s">
        <v>141</v>
      </c>
      <c r="AA51" s="9" t="s">
        <v>1</v>
      </c>
      <c r="AB51" s="10" t="s">
        <v>142</v>
      </c>
      <c r="AC51" s="9" t="s">
        <v>143</v>
      </c>
      <c r="AD51" s="10" t="s">
        <v>162</v>
      </c>
    </row>
    <row r="52" spans="1:30" x14ac:dyDescent="0.2">
      <c r="A52" s="2" t="s">
        <v>101</v>
      </c>
      <c r="B52" s="2" t="s">
        <v>102</v>
      </c>
      <c r="C52" s="2" t="s">
        <v>163</v>
      </c>
      <c r="W52" s="2">
        <v>1</v>
      </c>
      <c r="X52" s="10" t="s">
        <v>144</v>
      </c>
      <c r="Y52" s="2" t="s">
        <v>164</v>
      </c>
      <c r="Z52" s="2" t="s">
        <v>36</v>
      </c>
      <c r="AA52" s="11" t="s">
        <v>37</v>
      </c>
      <c r="AB52" s="2" t="s">
        <v>37</v>
      </c>
      <c r="AC52" s="2" t="s">
        <v>37</v>
      </c>
      <c r="AD52" s="2" t="s">
        <v>37</v>
      </c>
    </row>
    <row r="53" spans="1:30" x14ac:dyDescent="0.2">
      <c r="A53" s="2">
        <v>17</v>
      </c>
      <c r="B53" s="2">
        <v>100</v>
      </c>
      <c r="C53" s="2" t="s">
        <v>165</v>
      </c>
      <c r="M53" s="2">
        <v>9</v>
      </c>
      <c r="W53" s="2" t="s">
        <v>34</v>
      </c>
      <c r="X53" s="10" t="s">
        <v>160</v>
      </c>
      <c r="Y53" s="2" t="s">
        <v>164</v>
      </c>
      <c r="Z53" s="2" t="s">
        <v>36</v>
      </c>
      <c r="AA53" s="11" t="s">
        <v>37</v>
      </c>
      <c r="AB53" s="2" t="s">
        <v>37</v>
      </c>
      <c r="AC53" s="2" t="s">
        <v>37</v>
      </c>
      <c r="AD53" s="11" t="s">
        <v>37</v>
      </c>
    </row>
    <row r="54" spans="1:30" x14ac:dyDescent="0.2">
      <c r="A54" s="2">
        <v>14</v>
      </c>
      <c r="B54" s="2">
        <v>16</v>
      </c>
      <c r="C54" s="2" t="s">
        <v>166</v>
      </c>
      <c r="M54" s="2">
        <v>8</v>
      </c>
      <c r="W54" s="12" t="s">
        <v>167</v>
      </c>
      <c r="X54" s="9" t="s">
        <v>159</v>
      </c>
      <c r="Y54" s="2" t="s">
        <v>164</v>
      </c>
      <c r="Z54" s="2" t="s">
        <v>44</v>
      </c>
      <c r="AA54" s="11" t="s">
        <v>37</v>
      </c>
      <c r="AB54" s="2" t="s">
        <v>37</v>
      </c>
      <c r="AC54" s="2" t="s">
        <v>37</v>
      </c>
      <c r="AD54" s="11" t="s">
        <v>37</v>
      </c>
    </row>
    <row r="55" spans="1:30" x14ac:dyDescent="0.2">
      <c r="A55" s="2">
        <v>-189</v>
      </c>
      <c r="B55" s="2">
        <v>13</v>
      </c>
      <c r="C55" s="2" t="s">
        <v>168</v>
      </c>
      <c r="M55" s="2">
        <v>7</v>
      </c>
      <c r="W55" s="2" t="s">
        <v>169</v>
      </c>
      <c r="X55" s="10" t="s">
        <v>158</v>
      </c>
      <c r="Y55" s="2" t="s">
        <v>164</v>
      </c>
      <c r="Z55" s="2" t="s">
        <v>44</v>
      </c>
      <c r="AA55" s="11" t="s">
        <v>37</v>
      </c>
      <c r="AB55" s="11" t="s">
        <v>37</v>
      </c>
      <c r="AC55" s="11" t="s">
        <v>37</v>
      </c>
      <c r="AD55" s="11" t="s">
        <v>37</v>
      </c>
    </row>
    <row r="56" spans="1:30" x14ac:dyDescent="0.2">
      <c r="A56" s="2">
        <v>-297</v>
      </c>
      <c r="B56" s="2">
        <v>-190</v>
      </c>
      <c r="C56" s="2" t="s">
        <v>170</v>
      </c>
      <c r="M56" s="2">
        <v>6</v>
      </c>
      <c r="W56" s="2" t="s">
        <v>171</v>
      </c>
      <c r="X56" s="9" t="s">
        <v>2</v>
      </c>
      <c r="Y56" s="2" t="s">
        <v>164</v>
      </c>
      <c r="Z56" s="2" t="s">
        <v>47</v>
      </c>
      <c r="AA56" s="2" t="s">
        <v>36</v>
      </c>
      <c r="AB56" s="11" t="s">
        <v>37</v>
      </c>
      <c r="AC56" s="11" t="s">
        <v>37</v>
      </c>
      <c r="AD56" s="11" t="s">
        <v>37</v>
      </c>
    </row>
    <row r="57" spans="1:30" x14ac:dyDescent="0.2">
      <c r="A57" s="2">
        <v>-500</v>
      </c>
      <c r="B57" s="2">
        <v>-296</v>
      </c>
      <c r="C57" s="2" t="s">
        <v>172</v>
      </c>
      <c r="M57" s="2">
        <v>5</v>
      </c>
      <c r="W57" s="2" t="s">
        <v>173</v>
      </c>
      <c r="X57" s="10" t="s">
        <v>156</v>
      </c>
      <c r="Y57" s="2" t="s">
        <v>164</v>
      </c>
      <c r="Z57" s="2" t="s">
        <v>47</v>
      </c>
      <c r="AA57" s="2" t="s">
        <v>44</v>
      </c>
      <c r="AB57" s="11" t="s">
        <v>36</v>
      </c>
      <c r="AC57" s="11" t="s">
        <v>37</v>
      </c>
      <c r="AD57" s="11" t="s">
        <v>37</v>
      </c>
    </row>
    <row r="58" spans="1:30" x14ac:dyDescent="0.2">
      <c r="M58" s="2">
        <v>4</v>
      </c>
      <c r="W58" s="2" t="s">
        <v>174</v>
      </c>
      <c r="X58" s="9" t="s">
        <v>154</v>
      </c>
      <c r="Y58" s="2" t="s">
        <v>164</v>
      </c>
      <c r="Z58" s="2" t="s">
        <v>47</v>
      </c>
      <c r="AA58" s="11" t="s">
        <v>47</v>
      </c>
      <c r="AB58" s="11" t="s">
        <v>44</v>
      </c>
      <c r="AC58" s="11" t="s">
        <v>36</v>
      </c>
      <c r="AD58" s="11" t="s">
        <v>36</v>
      </c>
    </row>
    <row r="59" spans="1:30" x14ac:dyDescent="0.2">
      <c r="M59" s="2">
        <v>3</v>
      </c>
      <c r="W59" s="2" t="s">
        <v>175</v>
      </c>
      <c r="X59" s="10" t="s">
        <v>152</v>
      </c>
      <c r="Y59" s="2" t="s">
        <v>164</v>
      </c>
      <c r="Z59" s="2" t="s">
        <v>47</v>
      </c>
      <c r="AA59" s="11" t="s">
        <v>47</v>
      </c>
      <c r="AB59" s="11" t="s">
        <v>47</v>
      </c>
      <c r="AC59" s="2" t="s">
        <v>44</v>
      </c>
      <c r="AD59" s="11" t="s">
        <v>44</v>
      </c>
    </row>
    <row r="60" spans="1:30" x14ac:dyDescent="0.2">
      <c r="A60" s="2" t="s">
        <v>101</v>
      </c>
      <c r="M60" s="2">
        <v>2</v>
      </c>
      <c r="W60" s="2" t="s">
        <v>176</v>
      </c>
      <c r="X60" s="9" t="s">
        <v>150</v>
      </c>
      <c r="Y60" s="2" t="s">
        <v>164</v>
      </c>
      <c r="Z60" s="2" t="s">
        <v>47</v>
      </c>
      <c r="AA60" s="11" t="s">
        <v>47</v>
      </c>
      <c r="AB60" s="11" t="s">
        <v>47</v>
      </c>
      <c r="AC60" s="11" t="s">
        <v>47</v>
      </c>
      <c r="AD60" s="11" t="s">
        <v>47</v>
      </c>
    </row>
    <row r="61" spans="1:30" x14ac:dyDescent="0.2">
      <c r="A61" s="2" t="s">
        <v>133</v>
      </c>
      <c r="M61" s="2">
        <v>1</v>
      </c>
      <c r="N61" s="10" t="s">
        <v>148</v>
      </c>
    </row>
    <row r="62" spans="1:30" x14ac:dyDescent="0.2">
      <c r="A62" s="2" t="s">
        <v>7</v>
      </c>
    </row>
    <row r="63" spans="1:30" x14ac:dyDescent="0.2">
      <c r="A63" s="2" t="s">
        <v>9</v>
      </c>
    </row>
    <row r="64" spans="1:30" x14ac:dyDescent="0.2">
      <c r="A64" s="2" t="s">
        <v>11</v>
      </c>
    </row>
    <row r="65" spans="1:29" x14ac:dyDescent="0.2">
      <c r="A65" s="2" t="s">
        <v>13</v>
      </c>
      <c r="Y65" s="3" t="s">
        <v>164</v>
      </c>
      <c r="Z65" s="3" t="s">
        <v>47</v>
      </c>
      <c r="AA65" s="3" t="s">
        <v>44</v>
      </c>
      <c r="AB65" s="3" t="s">
        <v>36</v>
      </c>
      <c r="AC65" s="3" t="s">
        <v>37</v>
      </c>
    </row>
    <row r="66" spans="1:29" x14ac:dyDescent="0.2">
      <c r="A66" s="2" t="s">
        <v>15</v>
      </c>
      <c r="X66" s="13" t="s">
        <v>177</v>
      </c>
      <c r="Y66" s="2" t="s">
        <v>164</v>
      </c>
      <c r="Z66" s="2" t="s">
        <v>36</v>
      </c>
      <c r="AA66" s="2" t="s">
        <v>37</v>
      </c>
      <c r="AB66" s="2" t="s">
        <v>37</v>
      </c>
      <c r="AC66" s="2" t="s">
        <v>37</v>
      </c>
    </row>
    <row r="67" spans="1:29" x14ac:dyDescent="0.2">
      <c r="A67" s="2" t="s">
        <v>178</v>
      </c>
      <c r="X67" s="13" t="s">
        <v>179</v>
      </c>
      <c r="Y67" s="2" t="s">
        <v>164</v>
      </c>
      <c r="Z67" s="2" t="s">
        <v>36</v>
      </c>
      <c r="AA67" s="2" t="s">
        <v>180</v>
      </c>
      <c r="AB67" s="2" t="s">
        <v>37</v>
      </c>
      <c r="AC67" s="2" t="s">
        <v>37</v>
      </c>
    </row>
    <row r="68" spans="1:29" x14ac:dyDescent="0.2">
      <c r="A68" s="2" t="s">
        <v>19</v>
      </c>
      <c r="X68" s="14" t="s">
        <v>181</v>
      </c>
      <c r="Y68" s="2" t="s">
        <v>164</v>
      </c>
      <c r="Z68" s="2" t="s">
        <v>44</v>
      </c>
      <c r="AA68" s="2" t="s">
        <v>36</v>
      </c>
      <c r="AB68" s="2" t="s">
        <v>36</v>
      </c>
      <c r="AC68" s="2" t="s">
        <v>37</v>
      </c>
    </row>
    <row r="69" spans="1:29" x14ac:dyDescent="0.2">
      <c r="A69" s="2" t="s">
        <v>21</v>
      </c>
      <c r="X69" s="13" t="s">
        <v>182</v>
      </c>
      <c r="Y69" s="2" t="s">
        <v>164</v>
      </c>
      <c r="Z69" s="2" t="s">
        <v>44</v>
      </c>
      <c r="AA69" s="2" t="s">
        <v>44</v>
      </c>
      <c r="AB69" s="2" t="s">
        <v>36</v>
      </c>
      <c r="AC69" s="2" t="s">
        <v>37</v>
      </c>
    </row>
    <row r="70" spans="1:29" x14ac:dyDescent="0.2">
      <c r="A70" s="2" t="s">
        <v>23</v>
      </c>
      <c r="X70" s="14" t="s">
        <v>4</v>
      </c>
      <c r="Y70" s="2" t="s">
        <v>164</v>
      </c>
      <c r="Z70" s="2" t="s">
        <v>47</v>
      </c>
      <c r="AA70" s="2" t="s">
        <v>44</v>
      </c>
      <c r="AB70" s="2" t="s">
        <v>36</v>
      </c>
      <c r="AC70" s="2" t="s">
        <v>37</v>
      </c>
    </row>
    <row r="71" spans="1:29" x14ac:dyDescent="0.2">
      <c r="A71" s="2" t="s">
        <v>25</v>
      </c>
      <c r="X71" s="13" t="s">
        <v>183</v>
      </c>
      <c r="Y71" s="2" t="s">
        <v>164</v>
      </c>
      <c r="Z71" s="2" t="s">
        <v>47</v>
      </c>
      <c r="AA71" s="2" t="s">
        <v>44</v>
      </c>
      <c r="AB71" s="2" t="s">
        <v>36</v>
      </c>
      <c r="AC71" s="2" t="s">
        <v>37</v>
      </c>
    </row>
    <row r="72" spans="1:29" x14ac:dyDescent="0.2">
      <c r="A72" s="2" t="s">
        <v>184</v>
      </c>
      <c r="X72" s="10" t="s">
        <v>185</v>
      </c>
      <c r="Y72" s="2" t="s">
        <v>164</v>
      </c>
      <c r="Z72" s="2" t="s">
        <v>47</v>
      </c>
      <c r="AA72" s="2" t="s">
        <v>44</v>
      </c>
      <c r="AB72" s="2" t="s">
        <v>36</v>
      </c>
      <c r="AC72" s="2" t="s">
        <v>37</v>
      </c>
    </row>
    <row r="73" spans="1:29" x14ac:dyDescent="0.2">
      <c r="A73" s="2" t="s">
        <v>186</v>
      </c>
    </row>
    <row r="75" spans="1:29" x14ac:dyDescent="0.2">
      <c r="A75" s="2" t="s">
        <v>101</v>
      </c>
      <c r="B75" s="2" t="s">
        <v>102</v>
      </c>
    </row>
    <row r="76" spans="1:29" x14ac:dyDescent="0.2">
      <c r="A76" s="2" t="s">
        <v>146</v>
      </c>
      <c r="B76" s="2">
        <v>-100</v>
      </c>
    </row>
    <row r="77" spans="1:29" x14ac:dyDescent="0.2">
      <c r="A77" s="2" t="s">
        <v>185</v>
      </c>
      <c r="B77" s="2">
        <v>0</v>
      </c>
    </row>
    <row r="78" spans="1:29" x14ac:dyDescent="0.2">
      <c r="A78" s="15" t="s">
        <v>183</v>
      </c>
      <c r="B78" s="2">
        <v>0</v>
      </c>
    </row>
    <row r="79" spans="1:29" x14ac:dyDescent="0.2">
      <c r="A79" s="15" t="s">
        <v>4</v>
      </c>
      <c r="B79" s="2">
        <v>0</v>
      </c>
    </row>
    <row r="80" spans="1:29" x14ac:dyDescent="0.2">
      <c r="A80" s="15" t="s">
        <v>182</v>
      </c>
      <c r="B80" s="2">
        <v>1</v>
      </c>
    </row>
    <row r="81" spans="1:24" x14ac:dyDescent="0.2">
      <c r="A81" s="15" t="s">
        <v>181</v>
      </c>
      <c r="B81" s="2">
        <v>2</v>
      </c>
      <c r="X81" s="2" t="s">
        <v>187</v>
      </c>
    </row>
    <row r="82" spans="1:24" x14ac:dyDescent="0.2">
      <c r="A82" s="15" t="s">
        <v>179</v>
      </c>
      <c r="B82" s="2">
        <v>4</v>
      </c>
    </row>
    <row r="83" spans="1:24" x14ac:dyDescent="0.2">
      <c r="X83" s="2" t="s">
        <v>188</v>
      </c>
    </row>
    <row r="84" spans="1:24" x14ac:dyDescent="0.2">
      <c r="A84" s="2" t="s">
        <v>101</v>
      </c>
    </row>
    <row r="85" spans="1:24" x14ac:dyDescent="0.2">
      <c r="A85" s="2" t="s">
        <v>133</v>
      </c>
      <c r="X85" s="2" t="s">
        <v>189</v>
      </c>
    </row>
    <row r="86" spans="1:24" x14ac:dyDescent="0.2">
      <c r="A86" s="2" t="s">
        <v>190</v>
      </c>
    </row>
    <row r="87" spans="1:24" x14ac:dyDescent="0.2">
      <c r="A87" s="2" t="s">
        <v>191</v>
      </c>
      <c r="X87" s="2" t="s">
        <v>192</v>
      </c>
    </row>
    <row r="88" spans="1:24" x14ac:dyDescent="0.2">
      <c r="A88" s="2" t="s">
        <v>193</v>
      </c>
    </row>
    <row r="89" spans="1:24" x14ac:dyDescent="0.2">
      <c r="A89" s="2" t="s">
        <v>194</v>
      </c>
      <c r="X89" s="2" t="s">
        <v>195</v>
      </c>
    </row>
    <row r="91" spans="1:24" x14ac:dyDescent="0.2">
      <c r="A91" s="2" t="s">
        <v>101</v>
      </c>
      <c r="X91" s="2" t="s">
        <v>196</v>
      </c>
    </row>
    <row r="92" spans="1:24" x14ac:dyDescent="0.2">
      <c r="A92" s="2" t="s">
        <v>133</v>
      </c>
      <c r="X92" s="2" t="s">
        <v>197</v>
      </c>
    </row>
    <row r="93" spans="1:24" x14ac:dyDescent="0.2">
      <c r="A93" s="2" t="s">
        <v>198</v>
      </c>
      <c r="X93" s="2" t="s">
        <v>199</v>
      </c>
    </row>
    <row r="94" spans="1:24" x14ac:dyDescent="0.2">
      <c r="A94" s="2" t="s">
        <v>200</v>
      </c>
      <c r="X94" s="2" t="s">
        <v>201</v>
      </c>
    </row>
    <row r="95" spans="1:24" x14ac:dyDescent="0.2">
      <c r="A95" s="2" t="s">
        <v>202</v>
      </c>
      <c r="X95" s="2" t="s">
        <v>203</v>
      </c>
    </row>
    <row r="96" spans="1:24" x14ac:dyDescent="0.2">
      <c r="A96" s="2" t="s">
        <v>204</v>
      </c>
      <c r="X96" s="2" t="s">
        <v>205</v>
      </c>
    </row>
    <row r="97" spans="1:24" x14ac:dyDescent="0.2">
      <c r="A97" s="2" t="s">
        <v>206</v>
      </c>
    </row>
    <row r="98" spans="1:24" x14ac:dyDescent="0.2">
      <c r="A98" s="2" t="s">
        <v>207</v>
      </c>
      <c r="X98" s="2" t="s">
        <v>208</v>
      </c>
    </row>
    <row r="100" spans="1:24" x14ac:dyDescent="0.2">
      <c r="A100" s="2" t="s">
        <v>101</v>
      </c>
      <c r="X100" s="2" t="s">
        <v>209</v>
      </c>
    </row>
    <row r="101" spans="1:24" x14ac:dyDescent="0.2">
      <c r="A101" s="2" t="s">
        <v>210</v>
      </c>
    </row>
    <row r="102" spans="1:24" x14ac:dyDescent="0.2">
      <c r="A102" s="2" t="s">
        <v>211</v>
      </c>
    </row>
    <row r="103" spans="1:24" x14ac:dyDescent="0.2">
      <c r="A103" s="2" t="s">
        <v>212</v>
      </c>
    </row>
    <row r="104" spans="1:24" x14ac:dyDescent="0.2">
      <c r="A104" s="2" t="s">
        <v>213</v>
      </c>
    </row>
    <row r="105" spans="1:24" x14ac:dyDescent="0.2">
      <c r="A105" s="2" t="s">
        <v>214</v>
      </c>
    </row>
  </sheetData>
  <sheetProtection algorithmName="SHA-512" hashValue="qDtSX2Elhd0p/FAalqT2crxxV9b1q81MeyU0gEQO+XljfCvhBwqGdZ6ZzZfmKWhgHfaLhpQacC1bh2ad55L0+g==" saltValue="RHOpr989XoLz+QP7rwaWFg==" spinCount="100000" sheet="1" objects="1" scenarios="1"/>
  <sortState xmlns:xlrd2="http://schemas.microsoft.com/office/spreadsheetml/2017/richdata2" ref="M53:N61">
    <sortCondition descending="1" ref="M53:M61"/>
  </sortState>
  <mergeCells count="1">
    <mergeCell ref="K38:O38"/>
  </mergeCells>
  <phoneticPr fontId="1" type="noConversion"/>
  <pageMargins left="0.7" right="0.7" top="0.75" bottom="0.75" header="0.3" footer="0.3"/>
  <pageSetup paperSize="9" orientation="portrait" verticalDpi="0" r:id="rId1"/>
  <tableParts count="10">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448E5-9303-46F9-85C2-9FB5D39401CF}">
  <sheetPr codeName="Sheet7">
    <tabColor rgb="FF7030A0"/>
  </sheetPr>
  <dimension ref="A1:AN30"/>
  <sheetViews>
    <sheetView workbookViewId="0">
      <selection activeCell="C16" sqref="C16"/>
    </sheetView>
  </sheetViews>
  <sheetFormatPr baseColWidth="10" defaultColWidth="8.6640625" defaultRowHeight="15" x14ac:dyDescent="0.2"/>
  <cols>
    <col min="1" max="1" width="38" style="2" customWidth="1"/>
    <col min="2" max="2" width="14.1640625" style="2" customWidth="1"/>
    <col min="3" max="3" width="14.6640625" style="2" customWidth="1"/>
    <col min="4" max="4" width="27.83203125" style="2" customWidth="1"/>
    <col min="5" max="6" width="8.6640625" style="2"/>
    <col min="7" max="7" width="37.33203125" style="2" customWidth="1"/>
    <col min="8" max="8" width="38" style="2" customWidth="1"/>
    <col min="9" max="9" width="14" style="2" customWidth="1"/>
    <col min="10" max="10" width="14.6640625" style="2" customWidth="1"/>
    <col min="11" max="11" width="12.83203125" style="2" customWidth="1"/>
    <col min="12" max="12" width="12" style="2" customWidth="1"/>
    <col min="13" max="13" width="14.1640625" style="2" customWidth="1"/>
    <col min="14" max="14" width="15.83203125" style="2" customWidth="1"/>
    <col min="15" max="15" width="12.33203125" style="2" customWidth="1"/>
    <col min="16" max="16" width="12.83203125" style="2" customWidth="1"/>
    <col min="17" max="17" width="8.6640625" style="2"/>
    <col min="18" max="18" width="25.1640625" style="2" customWidth="1"/>
    <col min="19" max="20" width="15.1640625" style="2" customWidth="1"/>
    <col min="21" max="21" width="70" style="2" customWidth="1"/>
    <col min="22" max="33" width="15.1640625" style="2" customWidth="1"/>
    <col min="34" max="34" width="8.5" style="2" customWidth="1"/>
    <col min="35" max="40" width="13.83203125" style="2" customWidth="1"/>
    <col min="41" max="16384" width="8.6640625" style="2"/>
  </cols>
  <sheetData>
    <row r="1" spans="1:40" x14ac:dyDescent="0.2">
      <c r="A1" s="2" t="s">
        <v>215</v>
      </c>
      <c r="B1" s="2" t="s">
        <v>215</v>
      </c>
      <c r="C1" s="2" t="s">
        <v>215</v>
      </c>
      <c r="D1" s="2" t="s">
        <v>55</v>
      </c>
      <c r="E1" s="2" t="s">
        <v>55</v>
      </c>
      <c r="F1" s="2" t="s">
        <v>55</v>
      </c>
      <c r="G1" s="2" t="s">
        <v>215</v>
      </c>
      <c r="H1" s="2" t="s">
        <v>55</v>
      </c>
      <c r="I1" s="2" t="s">
        <v>55</v>
      </c>
      <c r="J1" s="2" t="s">
        <v>55</v>
      </c>
      <c r="K1" s="2" t="s">
        <v>215</v>
      </c>
      <c r="L1" s="2" t="s">
        <v>55</v>
      </c>
      <c r="M1" s="2" t="s">
        <v>55</v>
      </c>
      <c r="N1" s="2" t="s">
        <v>55</v>
      </c>
      <c r="O1" s="2" t="s">
        <v>55</v>
      </c>
      <c r="P1" s="2" t="s">
        <v>55</v>
      </c>
      <c r="Q1" s="2" t="s">
        <v>55</v>
      </c>
      <c r="R1" s="2" t="s">
        <v>55</v>
      </c>
      <c r="S1" s="2" t="s">
        <v>55</v>
      </c>
      <c r="T1" s="2" t="s">
        <v>215</v>
      </c>
      <c r="U1" s="2" t="s">
        <v>55</v>
      </c>
      <c r="V1" s="2" t="s">
        <v>55</v>
      </c>
      <c r="W1" s="2" t="s">
        <v>55</v>
      </c>
      <c r="X1" s="2" t="s">
        <v>55</v>
      </c>
      <c r="Y1" s="2" t="s">
        <v>55</v>
      </c>
      <c r="Z1" s="2" t="s">
        <v>55</v>
      </c>
      <c r="AA1" s="2" t="s">
        <v>55</v>
      </c>
      <c r="AB1" s="2" t="s">
        <v>55</v>
      </c>
      <c r="AC1" s="2" t="s">
        <v>55</v>
      </c>
      <c r="AD1" s="2" t="s">
        <v>55</v>
      </c>
      <c r="AE1" s="2" t="s">
        <v>55</v>
      </c>
      <c r="AF1" s="2" t="s">
        <v>55</v>
      </c>
      <c r="AG1" s="2" t="s">
        <v>55</v>
      </c>
      <c r="AN1" s="2" t="s">
        <v>55</v>
      </c>
    </row>
    <row r="2" spans="1:40" ht="18" customHeight="1" x14ac:dyDescent="0.2">
      <c r="A2" s="2" t="s">
        <v>216</v>
      </c>
      <c r="B2" s="2">
        <v>1</v>
      </c>
      <c r="C2" s="16" t="s">
        <v>7</v>
      </c>
      <c r="D2" s="10" t="s">
        <v>141</v>
      </c>
      <c r="E2" s="2" t="s">
        <v>71</v>
      </c>
      <c r="F2" s="2" t="s">
        <v>217</v>
      </c>
      <c r="G2" s="2" t="s">
        <v>218</v>
      </c>
      <c r="H2" s="2" t="s">
        <v>71</v>
      </c>
      <c r="I2" s="2" t="s">
        <v>219</v>
      </c>
      <c r="J2" s="2" t="s">
        <v>220</v>
      </c>
      <c r="K2" s="17" t="s">
        <v>221</v>
      </c>
      <c r="L2" s="2" t="s">
        <v>222</v>
      </c>
      <c r="M2" s="2" t="s">
        <v>71</v>
      </c>
      <c r="N2" s="2" t="s">
        <v>223</v>
      </c>
      <c r="O2" s="2" t="s">
        <v>224</v>
      </c>
      <c r="P2" s="2" t="s">
        <v>58</v>
      </c>
      <c r="Q2" s="2" t="s">
        <v>225</v>
      </c>
      <c r="R2" s="2" t="s">
        <v>69</v>
      </c>
      <c r="S2" s="2" t="s">
        <v>71</v>
      </c>
      <c r="T2" s="2" t="s">
        <v>226</v>
      </c>
      <c r="U2" s="2" t="s">
        <v>227</v>
      </c>
      <c r="V2" s="2" t="s">
        <v>228</v>
      </c>
      <c r="W2" s="2" t="s">
        <v>79</v>
      </c>
      <c r="X2" s="2" t="s">
        <v>76</v>
      </c>
      <c r="Y2" s="2" t="s">
        <v>71</v>
      </c>
      <c r="Z2" s="2" t="s">
        <v>229</v>
      </c>
      <c r="AA2" s="2" t="s">
        <v>229</v>
      </c>
      <c r="AB2" s="2" t="s">
        <v>229</v>
      </c>
      <c r="AC2" s="2" t="s">
        <v>229</v>
      </c>
      <c r="AD2" s="2" t="s">
        <v>229</v>
      </c>
      <c r="AE2" s="2" t="s">
        <v>229</v>
      </c>
      <c r="AF2" s="2" t="s">
        <v>229</v>
      </c>
      <c r="AG2" s="2" t="s">
        <v>71</v>
      </c>
      <c r="AN2" s="2" t="s">
        <v>71</v>
      </c>
    </row>
    <row r="3" spans="1:40" ht="31.75" customHeight="1" x14ac:dyDescent="0.2">
      <c r="A3" s="2" t="s">
        <v>230</v>
      </c>
      <c r="B3" s="2">
        <v>2</v>
      </c>
      <c r="C3" s="16" t="s">
        <v>231</v>
      </c>
      <c r="D3" s="10" t="s">
        <v>1</v>
      </c>
      <c r="E3" s="2" t="s">
        <v>56</v>
      </c>
      <c r="F3" s="2" t="s">
        <v>232</v>
      </c>
      <c r="G3" s="2" t="s">
        <v>233</v>
      </c>
      <c r="H3" s="2" t="s">
        <v>228</v>
      </c>
      <c r="I3" s="2" t="s">
        <v>234</v>
      </c>
      <c r="J3" s="2" t="s">
        <v>99</v>
      </c>
      <c r="K3" s="17" t="s">
        <v>235</v>
      </c>
      <c r="L3" s="2" t="s">
        <v>236</v>
      </c>
      <c r="M3" s="2" t="s">
        <v>228</v>
      </c>
      <c r="N3" s="2" t="s">
        <v>237</v>
      </c>
      <c r="O3" s="2" t="s">
        <v>238</v>
      </c>
      <c r="P3" s="2" t="s">
        <v>57</v>
      </c>
      <c r="Q3" s="2" t="s">
        <v>239</v>
      </c>
      <c r="R3" s="2" t="s">
        <v>240</v>
      </c>
      <c r="S3" s="2" t="s">
        <v>228</v>
      </c>
      <c r="T3" s="2" t="s">
        <v>241</v>
      </c>
      <c r="U3" s="2" t="s">
        <v>65</v>
      </c>
      <c r="V3" s="2" t="s">
        <v>242</v>
      </c>
      <c r="W3" s="2" t="s">
        <v>243</v>
      </c>
      <c r="X3" s="2" t="s">
        <v>71</v>
      </c>
      <c r="Y3" s="2" t="s">
        <v>228</v>
      </c>
      <c r="Z3" s="2" t="s">
        <v>244</v>
      </c>
      <c r="AA3" s="2" t="s">
        <v>245</v>
      </c>
      <c r="AB3" s="2" t="s">
        <v>88</v>
      </c>
      <c r="AC3" s="2" t="s">
        <v>90</v>
      </c>
      <c r="AD3" s="2" t="s">
        <v>92</v>
      </c>
      <c r="AE3" s="2" t="s">
        <v>94</v>
      </c>
      <c r="AF3" s="2" t="s">
        <v>96</v>
      </c>
      <c r="AG3" s="2" t="s">
        <v>228</v>
      </c>
      <c r="AN3" s="2" t="s">
        <v>228</v>
      </c>
    </row>
    <row r="4" spans="1:40" ht="16" x14ac:dyDescent="0.2">
      <c r="A4" s="2" t="s">
        <v>246</v>
      </c>
      <c r="B4" s="2">
        <v>3</v>
      </c>
      <c r="C4" s="16" t="s">
        <v>13</v>
      </c>
      <c r="D4" s="10" t="s">
        <v>142</v>
      </c>
      <c r="F4" s="2" t="s">
        <v>247</v>
      </c>
      <c r="G4" s="2" t="s">
        <v>60</v>
      </c>
      <c r="I4" s="2" t="s">
        <v>248</v>
      </c>
      <c r="L4" s="2" t="s">
        <v>61</v>
      </c>
      <c r="N4" s="2" t="s">
        <v>249</v>
      </c>
      <c r="P4" s="2" t="s">
        <v>64</v>
      </c>
      <c r="Q4" s="2" t="s">
        <v>59</v>
      </c>
      <c r="R4" s="2" t="s">
        <v>250</v>
      </c>
      <c r="T4" s="2" t="s">
        <v>251</v>
      </c>
      <c r="U4" s="2" t="s">
        <v>62</v>
      </c>
      <c r="V4" s="2" t="s">
        <v>252</v>
      </c>
      <c r="W4" s="2" t="s">
        <v>253</v>
      </c>
      <c r="X4" s="2" t="s">
        <v>228</v>
      </c>
      <c r="Y4" s="2" t="s">
        <v>79</v>
      </c>
      <c r="Z4" s="2" t="s">
        <v>254</v>
      </c>
      <c r="AE4" s="2" t="s">
        <v>255</v>
      </c>
      <c r="AF4" s="2" t="s">
        <v>256</v>
      </c>
      <c r="AJ4" s="18" t="s">
        <v>257</v>
      </c>
    </row>
    <row r="5" spans="1:40" ht="32" x14ac:dyDescent="0.2">
      <c r="A5" s="2" t="s">
        <v>54</v>
      </c>
      <c r="B5" s="2">
        <v>4</v>
      </c>
      <c r="C5" s="16" t="s">
        <v>258</v>
      </c>
      <c r="D5" s="10" t="s">
        <v>63</v>
      </c>
      <c r="I5" s="2" t="s">
        <v>259</v>
      </c>
      <c r="N5" s="2" t="s">
        <v>260</v>
      </c>
      <c r="R5" s="2" t="s">
        <v>261</v>
      </c>
      <c r="T5" s="2" t="s">
        <v>262</v>
      </c>
      <c r="V5" s="2" t="s">
        <v>263</v>
      </c>
      <c r="W5" s="2" t="s">
        <v>73</v>
      </c>
      <c r="AH5" s="3"/>
      <c r="AI5" s="19" t="s">
        <v>264</v>
      </c>
      <c r="AJ5" s="3">
        <v>1</v>
      </c>
      <c r="AK5" s="3">
        <v>2</v>
      </c>
      <c r="AL5" s="3">
        <v>3</v>
      </c>
      <c r="AM5" s="3">
        <v>4</v>
      </c>
    </row>
    <row r="6" spans="1:40" ht="16" x14ac:dyDescent="0.2">
      <c r="A6" s="2" t="s">
        <v>265</v>
      </c>
      <c r="B6" s="2">
        <v>5</v>
      </c>
      <c r="C6" s="16" t="s">
        <v>17</v>
      </c>
      <c r="I6" s="2" t="s">
        <v>266</v>
      </c>
      <c r="N6" s="2" t="s">
        <v>267</v>
      </c>
      <c r="V6" s="2" t="s">
        <v>268</v>
      </c>
      <c r="AH6" s="20" t="s">
        <v>269</v>
      </c>
      <c r="AI6" s="21">
        <v>0</v>
      </c>
      <c r="AJ6" s="3" t="s">
        <v>47</v>
      </c>
      <c r="AK6" s="3" t="s">
        <v>47</v>
      </c>
      <c r="AL6" s="3" t="s">
        <v>47</v>
      </c>
      <c r="AM6" s="3" t="s">
        <v>47</v>
      </c>
    </row>
    <row r="7" spans="1:40" ht="16" x14ac:dyDescent="0.2">
      <c r="A7" s="2" t="s">
        <v>270</v>
      </c>
      <c r="B7" s="22" t="s">
        <v>271</v>
      </c>
      <c r="C7" s="16" t="s">
        <v>272</v>
      </c>
      <c r="I7" s="2" t="s">
        <v>273</v>
      </c>
      <c r="N7" s="2" t="s">
        <v>274</v>
      </c>
      <c r="AH7" s="23" t="s">
        <v>269</v>
      </c>
      <c r="AI7" s="3">
        <v>9.9999999999999995E-7</v>
      </c>
      <c r="AJ7" s="3" t="s">
        <v>47</v>
      </c>
      <c r="AK7" s="3" t="s">
        <v>47</v>
      </c>
      <c r="AL7" s="3" t="s">
        <v>47</v>
      </c>
      <c r="AM7" s="3" t="s">
        <v>44</v>
      </c>
    </row>
    <row r="8" spans="1:40" ht="32" x14ac:dyDescent="0.2">
      <c r="A8" s="2" t="s">
        <v>275</v>
      </c>
      <c r="C8" s="16" t="s">
        <v>276</v>
      </c>
      <c r="I8" s="2" t="s">
        <v>268</v>
      </c>
      <c r="N8" s="2" t="s">
        <v>277</v>
      </c>
      <c r="AH8" s="23" t="s">
        <v>269</v>
      </c>
      <c r="AI8" s="3">
        <v>1.0000000000000001E-5</v>
      </c>
      <c r="AJ8" s="3" t="s">
        <v>47</v>
      </c>
      <c r="AK8" s="3" t="s">
        <v>47</v>
      </c>
      <c r="AL8" s="3" t="s">
        <v>44</v>
      </c>
      <c r="AM8" s="3" t="s">
        <v>36</v>
      </c>
    </row>
    <row r="9" spans="1:40" ht="16" x14ac:dyDescent="0.2">
      <c r="A9" s="2" t="s">
        <v>278</v>
      </c>
      <c r="C9" s="16" t="s">
        <v>21</v>
      </c>
      <c r="N9" s="2" t="s">
        <v>261</v>
      </c>
      <c r="AH9" s="23" t="s">
        <v>269</v>
      </c>
      <c r="AI9" s="3">
        <v>1E-4</v>
      </c>
      <c r="AJ9" s="3" t="s">
        <v>47</v>
      </c>
      <c r="AK9" s="3" t="s">
        <v>44</v>
      </c>
      <c r="AL9" s="3" t="s">
        <v>36</v>
      </c>
      <c r="AM9" s="3" t="s">
        <v>37</v>
      </c>
    </row>
    <row r="10" spans="1:40" ht="16" x14ac:dyDescent="0.2">
      <c r="A10" s="2" t="s">
        <v>279</v>
      </c>
      <c r="C10" s="16" t="s">
        <v>19</v>
      </c>
      <c r="AH10" s="23" t="s">
        <v>269</v>
      </c>
      <c r="AI10" s="3">
        <v>1E-3</v>
      </c>
      <c r="AJ10" s="3" t="s">
        <v>47</v>
      </c>
      <c r="AK10" s="3" t="s">
        <v>36</v>
      </c>
      <c r="AL10" s="3" t="s">
        <v>37</v>
      </c>
      <c r="AM10" s="3" t="s">
        <v>37</v>
      </c>
    </row>
    <row r="11" spans="1:40" ht="32" x14ac:dyDescent="0.2">
      <c r="A11" s="2" t="s">
        <v>280</v>
      </c>
      <c r="C11" s="16" t="s">
        <v>281</v>
      </c>
      <c r="AH11" s="23" t="s">
        <v>269</v>
      </c>
      <c r="AI11" s="3">
        <v>0.01</v>
      </c>
      <c r="AJ11" s="3" t="s">
        <v>44</v>
      </c>
      <c r="AK11" s="3" t="s">
        <v>37</v>
      </c>
      <c r="AL11" s="3" t="s">
        <v>37</v>
      </c>
      <c r="AM11" s="3" t="s">
        <v>37</v>
      </c>
    </row>
    <row r="12" spans="1:40" x14ac:dyDescent="0.2">
      <c r="A12" s="2" t="s">
        <v>282</v>
      </c>
      <c r="C12" s="2" t="s">
        <v>25</v>
      </c>
      <c r="AH12" s="23" t="s">
        <v>269</v>
      </c>
      <c r="AI12" s="3">
        <v>0.1</v>
      </c>
      <c r="AJ12" s="3" t="s">
        <v>44</v>
      </c>
      <c r="AK12" s="3" t="s">
        <v>37</v>
      </c>
      <c r="AL12" s="3" t="s">
        <v>37</v>
      </c>
      <c r="AM12" s="3" t="s">
        <v>37</v>
      </c>
    </row>
    <row r="13" spans="1:40" x14ac:dyDescent="0.2">
      <c r="A13" s="2" t="s">
        <v>283</v>
      </c>
      <c r="AH13" s="23" t="s">
        <v>269</v>
      </c>
      <c r="AI13" s="3">
        <v>0.5</v>
      </c>
      <c r="AJ13" s="3" t="s">
        <v>36</v>
      </c>
      <c r="AK13" s="3" t="s">
        <v>37</v>
      </c>
      <c r="AL13" s="3" t="s">
        <v>37</v>
      </c>
      <c r="AM13" s="3" t="s">
        <v>37</v>
      </c>
    </row>
    <row r="14" spans="1:40" x14ac:dyDescent="0.2">
      <c r="A14" s="2" t="s">
        <v>284</v>
      </c>
    </row>
    <row r="15" spans="1:40" x14ac:dyDescent="0.2">
      <c r="A15" s="2" t="s">
        <v>285</v>
      </c>
      <c r="AI15" s="24" t="s">
        <v>286</v>
      </c>
    </row>
    <row r="16" spans="1:40" x14ac:dyDescent="0.2">
      <c r="A16" s="2" t="s">
        <v>287</v>
      </c>
      <c r="AI16" s="24" t="s">
        <v>288</v>
      </c>
    </row>
    <row r="17" spans="1:39" x14ac:dyDescent="0.2">
      <c r="A17" s="2" t="s">
        <v>289</v>
      </c>
      <c r="AI17" s="24" t="s">
        <v>290</v>
      </c>
    </row>
    <row r="18" spans="1:39" x14ac:dyDescent="0.2">
      <c r="A18" s="2" t="s">
        <v>291</v>
      </c>
      <c r="AI18" s="24" t="s">
        <v>292</v>
      </c>
    </row>
    <row r="19" spans="1:39" x14ac:dyDescent="0.2">
      <c r="A19" s="2" t="s">
        <v>293</v>
      </c>
      <c r="AI19" s="24" t="s">
        <v>294</v>
      </c>
    </row>
    <row r="20" spans="1:39" x14ac:dyDescent="0.2">
      <c r="A20" s="2" t="s">
        <v>295</v>
      </c>
      <c r="AJ20" s="18" t="s">
        <v>296</v>
      </c>
    </row>
    <row r="21" spans="1:39" x14ac:dyDescent="0.2">
      <c r="A21" s="2" t="s">
        <v>297</v>
      </c>
      <c r="AI21" s="3"/>
      <c r="AJ21" s="25" t="s">
        <v>47</v>
      </c>
      <c r="AK21" s="25" t="s">
        <v>44</v>
      </c>
      <c r="AL21" s="25" t="s">
        <v>36</v>
      </c>
      <c r="AM21" s="25" t="s">
        <v>37</v>
      </c>
    </row>
    <row r="22" spans="1:39" x14ac:dyDescent="0.2">
      <c r="A22" s="2" t="s">
        <v>298</v>
      </c>
      <c r="AH22" s="20" t="s">
        <v>269</v>
      </c>
      <c r="AI22" s="3">
        <v>0</v>
      </c>
      <c r="AJ22" s="3" t="s">
        <v>47</v>
      </c>
      <c r="AK22" s="3" t="s">
        <v>44</v>
      </c>
      <c r="AL22" s="3" t="s">
        <v>36</v>
      </c>
      <c r="AM22" s="3" t="s">
        <v>37</v>
      </c>
    </row>
    <row r="23" spans="1:39" x14ac:dyDescent="0.2">
      <c r="A23" s="2" t="s">
        <v>299</v>
      </c>
      <c r="AH23" s="23" t="s">
        <v>269</v>
      </c>
      <c r="AI23" s="3">
        <v>1000</v>
      </c>
      <c r="AJ23" s="3" t="s">
        <v>47</v>
      </c>
      <c r="AK23" s="3" t="s">
        <v>44</v>
      </c>
      <c r="AL23" s="3" t="s">
        <v>36</v>
      </c>
      <c r="AM23" s="3" t="s">
        <v>37</v>
      </c>
    </row>
    <row r="24" spans="1:39" x14ac:dyDescent="0.2">
      <c r="A24" s="2" t="s">
        <v>300</v>
      </c>
      <c r="AH24" s="23" t="s">
        <v>269</v>
      </c>
      <c r="AI24" s="3">
        <v>50000</v>
      </c>
      <c r="AJ24" s="3" t="s">
        <v>44</v>
      </c>
      <c r="AK24" s="3" t="s">
        <v>44</v>
      </c>
      <c r="AL24" s="3" t="s">
        <v>36</v>
      </c>
      <c r="AM24" s="3" t="s">
        <v>37</v>
      </c>
    </row>
    <row r="25" spans="1:39" x14ac:dyDescent="0.2">
      <c r="A25" s="2" t="s">
        <v>301</v>
      </c>
      <c r="AH25" s="23" t="s">
        <v>269</v>
      </c>
      <c r="AI25" s="3">
        <v>100000</v>
      </c>
      <c r="AJ25" s="3" t="s">
        <v>44</v>
      </c>
      <c r="AK25" s="3" t="s">
        <v>302</v>
      </c>
      <c r="AL25" s="3" t="s">
        <v>36</v>
      </c>
      <c r="AM25" s="3" t="s">
        <v>37</v>
      </c>
    </row>
    <row r="26" spans="1:39" x14ac:dyDescent="0.2">
      <c r="A26" s="2" t="s">
        <v>25</v>
      </c>
      <c r="AH26" s="23" t="s">
        <v>269</v>
      </c>
      <c r="AI26" s="3">
        <v>500000</v>
      </c>
      <c r="AJ26" s="3" t="s">
        <v>36</v>
      </c>
      <c r="AK26" s="3" t="s">
        <v>302</v>
      </c>
      <c r="AL26" s="3" t="s">
        <v>37</v>
      </c>
      <c r="AM26" s="3" t="s">
        <v>37</v>
      </c>
    </row>
    <row r="27" spans="1:39" x14ac:dyDescent="0.2">
      <c r="AH27" s="23" t="s">
        <v>269</v>
      </c>
      <c r="AI27" s="26">
        <v>1000000</v>
      </c>
      <c r="AJ27" s="3" t="s">
        <v>36</v>
      </c>
      <c r="AK27" s="3" t="s">
        <v>37</v>
      </c>
      <c r="AL27" s="3" t="s">
        <v>37</v>
      </c>
      <c r="AM27" s="3" t="s">
        <v>37</v>
      </c>
    </row>
    <row r="28" spans="1:39" x14ac:dyDescent="0.2">
      <c r="AH28" s="23"/>
      <c r="AI28" s="3"/>
      <c r="AJ28" s="27"/>
      <c r="AK28" s="27"/>
      <c r="AL28" s="27"/>
      <c r="AM28" s="27"/>
    </row>
    <row r="30" spans="1:39" x14ac:dyDescent="0.2">
      <c r="AI30" s="11" t="s">
        <v>303</v>
      </c>
    </row>
  </sheetData>
  <sheetProtection algorithmName="SHA-512" hashValue="JfryfKXKtpNoLaN9xtTIFRVOT+zs/9lX+joe7/BX3YuY0yX/hWdv2iP51o24Rym6PMxXM6R1hKLbYGtjhCvxbg==" saltValue="/RdaLruQxSEEXVJ+J3SJaQ==" spinCount="100000" sheet="1" objects="1" scenarios="1"/>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5A2267190229C94FBB0633D715AFC450" ma:contentTypeVersion="24" ma:contentTypeDescription="Create a new document." ma:contentTypeScope="" ma:versionID="3738fe750560c62f53470896a5b8fc8e">
  <xsd:schema xmlns:xsd="http://www.w3.org/2001/XMLSchema" xmlns:xs="http://www.w3.org/2001/XMLSchema" xmlns:p="http://schemas.microsoft.com/office/2006/metadata/properties" xmlns:ns2="17534777-825a-4d8d-b448-aa49bdefd208" xmlns:ns3="0063f72e-ace3-48fb-9c1f-5b513408b31f" xmlns:ns4="b413c3fd-5a3b-4239-b985-69032e371c04" xmlns:ns5="a8f60570-4bd3-4f2b-950b-a996de8ab151" xmlns:ns6="aaacb922-5235-4a66-b188-303b9b46fbd7" xmlns:ns7="21e7c010-634b-4bd8-9606-3ba596405f8d" targetNamespace="http://schemas.microsoft.com/office/2006/metadata/properties" ma:root="true" ma:fieldsID="7cfa838bbd35fe42ff37e6e1fca77de2" ns2:_="" ns3:_="" ns4:_="" ns5:_="" ns6:_="" ns7:_="">
    <xsd:import namespace="17534777-825a-4d8d-b448-aa49bdefd208"/>
    <xsd:import namespace="0063f72e-ace3-48fb-9c1f-5b513408b31f"/>
    <xsd:import namespace="b413c3fd-5a3b-4239-b985-69032e371c04"/>
    <xsd:import namespace="a8f60570-4bd3-4f2b-950b-a996de8ab151"/>
    <xsd:import namespace="aaacb922-5235-4a66-b188-303b9b46fbd7"/>
    <xsd:import namespace="21e7c010-634b-4bd8-9606-3ba596405f8d"/>
    <xsd:element name="properties">
      <xsd:complexType>
        <xsd:sequence>
          <xsd:element name="documentManagement">
            <xsd:complexType>
              <xsd:all>
                <xsd:element ref="ns2:_dlc_DocId" minOccurs="0"/>
                <xsd:element ref="ns2:_dlc_DocIdUrl" minOccurs="0"/>
                <xsd:element ref="ns2:_dlc_DocIdPersistId" minOccurs="0"/>
                <xsd:element ref="ns3:Security_x0020_Classification" minOccurs="0"/>
                <xsd:element ref="ns3:Descriptor" minOccurs="0"/>
                <xsd:element ref="ns2:m975189f4ba442ecbf67d4147307b177" minOccurs="0"/>
                <xsd:element ref="ns2:TaxCatchAll" minOccurs="0"/>
                <xsd:element ref="ns2:TaxCatchAllLabel" minOccurs="0"/>
                <xsd:element ref="ns4:Government_x0020_Body" minOccurs="0"/>
                <xsd:element ref="ns4:Date_x0020_Opened" minOccurs="0"/>
                <xsd:element ref="ns4:Date_x0020_Closed" minOccurs="0"/>
                <xsd:element ref="ns5:Retention_x0020_Label" minOccurs="0"/>
                <xsd:element ref="ns6:LegacyData" minOccurs="0"/>
                <xsd:element ref="ns7:MediaServiceMetadata" minOccurs="0"/>
                <xsd:element ref="ns7:MediaServiceFastMetadata" minOccurs="0"/>
                <xsd:element ref="ns7:MediaServiceAutoKeyPoints" minOccurs="0"/>
                <xsd:element ref="ns7:MediaServiceKeyPoints" minOccurs="0"/>
                <xsd:element ref="ns7:MediaServiceDateTaken" minOccurs="0"/>
                <xsd:element ref="ns7:MediaServiceAutoTags" minOccurs="0"/>
                <xsd:element ref="ns7:MediaServiceLocation" minOccurs="0"/>
                <xsd:element ref="ns7:MediaServiceGenerationTime" minOccurs="0"/>
                <xsd:element ref="ns7:MediaServiceEventHashCode" minOccurs="0"/>
                <xsd:element ref="ns7:MediaServiceOCR" minOccurs="0"/>
                <xsd:element ref="ns2:SharedWithUsers" minOccurs="0"/>
                <xsd:element ref="ns2:SharedWithDetails" minOccurs="0"/>
                <xsd:element ref="ns7:MediaLengthInSeconds" minOccurs="0"/>
                <xsd:element ref="ns7: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34777-825a-4d8d-b448-aa49bdefd208"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m975189f4ba442ecbf67d4147307b177" ma:index="13" nillable="true" ma:taxonomy="true" ma:internalName="m975189f4ba442ecbf67d4147307b177" ma:taxonomyFieldName="Business_x0020_Unit" ma:displayName="Business Unit" ma:default="1;#Office for Product Safety and Standards|ce37d5da-e07d-451f-b694-ebae85a28213" ma:fieldId="{6975189f-4ba4-42ec-bf67-d4147307b177}" ma:sspId="9b0aeba9-2bce-41c2-8545-5d12d676a674" ma:termSetId="6f71e40e-3a2e-4baf-91d9-2069eb354530" ma:anchorId="00000000-0000-0000-0000-000000000000" ma:open="false" ma:isKeyword="false">
      <xsd:complexType>
        <xsd:sequence>
          <xsd:element ref="pc:Terms" minOccurs="0" maxOccurs="1"/>
        </xsd:sequence>
      </xsd:complexType>
    </xsd:element>
    <xsd:element name="TaxCatchAll" ma:index="14" nillable="true" ma:displayName="Taxonomy Catch All Column" ma:hidden="true" ma:list="{aa45854f-45b4-4a0d-9b7d-711bc80ac718}" ma:internalName="TaxCatchAll" ma:showField="CatchAllData" ma:web="17534777-825a-4d8d-b448-aa49bdefd208">
      <xsd:complexType>
        <xsd:complexContent>
          <xsd:extension base="dms:MultiChoiceLookup">
            <xsd:sequence>
              <xsd:element name="Value" type="dms:Lookup" maxOccurs="unbounded" minOccurs="0" nillable="true"/>
            </xsd:sequence>
          </xsd:extension>
        </xsd:complexContent>
      </xsd:complexType>
    </xsd:element>
    <xsd:element name="TaxCatchAllLabel" ma:index="15" nillable="true" ma:displayName="Taxonomy Catch All Column1" ma:hidden="true" ma:list="{aa45854f-45b4-4a0d-9b7d-711bc80ac718}" ma:internalName="TaxCatchAllLabel" ma:readOnly="true" ma:showField="CatchAllDataLabel" ma:web="17534777-825a-4d8d-b448-aa49bdefd208">
      <xsd:complexType>
        <xsd:complexContent>
          <xsd:extension base="dms:MultiChoiceLookup">
            <xsd:sequence>
              <xsd:element name="Value" type="dms:Lookup" maxOccurs="unbounded" minOccurs="0" nillable="true"/>
            </xsd:sequence>
          </xsd:extension>
        </xsd:complexContent>
      </xsd:complexType>
    </xsd:element>
    <xsd:element name="SharedWithUsers" ma:index="3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63f72e-ace3-48fb-9c1f-5b513408b31f" elementFormDefault="qualified">
    <xsd:import namespace="http://schemas.microsoft.com/office/2006/documentManagement/types"/>
    <xsd:import namespace="http://schemas.microsoft.com/office/infopath/2007/PartnerControls"/>
    <xsd:element name="Security_x0020_Classification" ma:index="11" nillable="true" ma:displayName="Security Classification" ma:default="OFFICIAL" ma:format="Dropdown" ma:indexed="true" ma:internalName="Security_x0020_Classification">
      <xsd:simpleType>
        <xsd:restriction base="dms:Choice">
          <xsd:enumeration value="OFFICIAL"/>
          <xsd:enumeration value="OFFICIAL - SENSITIVE"/>
        </xsd:restriction>
      </xsd:simpleType>
    </xsd:element>
    <xsd:element name="Descriptor" ma:index="12" nillable="true" ma:displayName="Descriptor" ma:default="" ma:format="Dropdown" ma:indexed="true" ma:internalName="Descriptor">
      <xsd:simpleType>
        <xsd:restriction base="dms:Choice">
          <xsd:enumeration value="COMMERCIAL"/>
          <xsd:enumeration value="PERSONAL"/>
          <xsd:enumeration value="LOCSEN"/>
        </xsd:restriction>
      </xsd:simpleType>
    </xsd:element>
  </xsd:schema>
  <xsd:schema xmlns:xsd="http://www.w3.org/2001/XMLSchema" xmlns:xs="http://www.w3.org/2001/XMLSchema" xmlns:dms="http://schemas.microsoft.com/office/2006/documentManagement/types" xmlns:pc="http://schemas.microsoft.com/office/infopath/2007/PartnerControls" targetNamespace="b413c3fd-5a3b-4239-b985-69032e371c04" elementFormDefault="qualified">
    <xsd:import namespace="http://schemas.microsoft.com/office/2006/documentManagement/types"/>
    <xsd:import namespace="http://schemas.microsoft.com/office/infopath/2007/PartnerControls"/>
    <xsd:element name="Government_x0020_Body" ma:index="17" nillable="true" ma:displayName="Government Body" ma:default="BEIS" ma:internalName="Government_x0020_Body">
      <xsd:simpleType>
        <xsd:restriction base="dms:Text">
          <xsd:maxLength value="255"/>
        </xsd:restriction>
      </xsd:simpleType>
    </xsd:element>
    <xsd:element name="Date_x0020_Opened" ma:index="18" nillable="true" ma:displayName="Date Opened" ma:default="[Today]" ma:format="DateOnly" ma:internalName="Date_x0020_Opened">
      <xsd:simpleType>
        <xsd:restriction base="dms:DateTime"/>
      </xsd:simpleType>
    </xsd:element>
    <xsd:element name="Date_x0020_Closed" ma:index="19" nillable="true" ma:displayName="Date Closed" ma:format="DateOnly" ma:internalName="Date_x0020_Closed">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8f60570-4bd3-4f2b-950b-a996de8ab151" elementFormDefault="qualified">
    <xsd:import namespace="http://schemas.microsoft.com/office/2006/documentManagement/types"/>
    <xsd:import namespace="http://schemas.microsoft.com/office/infopath/2007/PartnerControls"/>
    <xsd:element name="Retention_x0020_Label" ma:index="20" nillable="true" ma:displayName="Retention Label" ma:internalName="Retention_x0020_Label">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aacb922-5235-4a66-b188-303b9b46fbd7" elementFormDefault="qualified">
    <xsd:import namespace="http://schemas.microsoft.com/office/2006/documentManagement/types"/>
    <xsd:import namespace="http://schemas.microsoft.com/office/infopath/2007/PartnerControls"/>
    <xsd:element name="LegacyData" ma:index="21" nillable="true" ma:displayName="Legacy Data" ma:internalName="LegacyData">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1e7c010-634b-4bd8-9606-3ba596405f8d" elementFormDefault="qualified">
    <xsd:import namespace="http://schemas.microsoft.com/office/2006/documentManagement/types"/>
    <xsd:import namespace="http://schemas.microsoft.com/office/infopath/2007/PartnerControls"/>
    <xsd:element name="MediaServiceMetadata" ma:index="22" nillable="true" ma:displayName="MediaServiceMetadata" ma:hidden="true" ma:internalName="MediaServiceMetadata" ma:readOnly="true">
      <xsd:simpleType>
        <xsd:restriction base="dms:Note"/>
      </xsd:simpleType>
    </xsd:element>
    <xsd:element name="MediaServiceFastMetadata" ma:index="23" nillable="true" ma:displayName="MediaServiceFastMetadata" ma:hidden="true" ma:internalName="MediaServiceFastMetadata" ma:readOnly="true">
      <xsd:simpleType>
        <xsd:restriction base="dms:Note"/>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element name="MediaServiceDateTaken" ma:index="26" nillable="true" ma:displayName="MediaServiceDateTaken" ma:hidden="true" ma:internalName="MediaServiceDateTaken" ma:readOnly="true">
      <xsd:simpleType>
        <xsd:restriction base="dms:Text"/>
      </xsd:simpleType>
    </xsd:element>
    <xsd:element name="MediaServiceAutoTags" ma:index="27" nillable="true" ma:displayName="Tags" ma:internalName="MediaServiceAutoTags" ma:readOnly="true">
      <xsd:simpleType>
        <xsd:restriction base="dms:Text"/>
      </xsd:simpleType>
    </xsd:element>
    <xsd:element name="MediaServiceLocation" ma:index="28" nillable="true" ma:displayName="Location" ma:internalName="MediaServiceLocation" ma:readOnly="true">
      <xsd:simpleType>
        <xsd:restriction base="dms:Text"/>
      </xsd:simpleType>
    </xsd:element>
    <xsd:element name="MediaServiceGenerationTime" ma:index="29" nillable="true" ma:displayName="MediaServiceGenerationTime" ma:hidden="true" ma:internalName="MediaServiceGenerationTime" ma:readOnly="true">
      <xsd:simpleType>
        <xsd:restriction base="dms:Text"/>
      </xsd:simpleType>
    </xsd:element>
    <xsd:element name="MediaServiceEventHashCode" ma:index="30" nillable="true" ma:displayName="MediaServiceEventHashCode" ma:hidden="true" ma:internalName="MediaServiceEventHashCode"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LengthInSeconds" ma:index="34" nillable="true" ma:displayName="MediaLengthInSeconds" ma:hidden="true" ma:internalName="MediaLengthInSeconds" ma:readOnly="true">
      <xsd:simpleType>
        <xsd:restriction base="dms:Unknown"/>
      </xsd:simpleType>
    </xsd:element>
    <xsd:element name="lcf76f155ced4ddcb4097134ff3c332f" ma:index="36" nillable="true" ma:taxonomy="true" ma:internalName="lcf76f155ced4ddcb4097134ff3c332f" ma:taxonomyFieldName="MediaServiceImageTags" ma:displayName="Image Tags" ma:readOnly="false" ma:fieldId="{5cf76f15-5ced-4ddc-b409-7134ff3c332f}" ma:taxonomyMulti="true" ma:sspId="9b0aeba9-2bce-41c2-8545-5d12d676a674"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17534777-825a-4d8d-b448-aa49bdefd208">4DPE5M6FFKPW-1920298902-20397</_dlc_DocId>
    <TaxCatchAll xmlns="17534777-825a-4d8d-b448-aa49bdefd208">
      <Value>1</Value>
    </TaxCatchAll>
    <Security_x0020_Classification xmlns="0063f72e-ace3-48fb-9c1f-5b513408b31f">OFFICIAL</Security_x0020_Classification>
    <_dlc_DocIdUrl xmlns="17534777-825a-4d8d-b448-aa49bdefd208">
      <Url>https://beisgov.sharepoint.com/sites/OPSSIUR/_layouts/15/DocIdRedir.aspx?ID=4DPE5M6FFKPW-1920298902-20397</Url>
      <Description>4DPE5M6FFKPW-1920298902-20397</Description>
    </_dlc_DocIdUrl>
    <m975189f4ba442ecbf67d4147307b177 xmlns="17534777-825a-4d8d-b448-aa49bdefd208">
      <Terms xmlns="http://schemas.microsoft.com/office/infopath/2007/PartnerControls">
        <TermInfo xmlns="http://schemas.microsoft.com/office/infopath/2007/PartnerControls">
          <TermName xmlns="http://schemas.microsoft.com/office/infopath/2007/PartnerControls">Office for Product Safety and Standards</TermName>
          <TermId xmlns="http://schemas.microsoft.com/office/infopath/2007/PartnerControls">ce37d5da-e07d-451f-b694-ebae85a28213</TermId>
        </TermInfo>
      </Terms>
    </m975189f4ba442ecbf67d4147307b177>
    <Government_x0020_Body xmlns="b413c3fd-5a3b-4239-b985-69032e371c04">BEIS</Government_x0020_Body>
    <Date_x0020_Opened xmlns="b413c3fd-5a3b-4239-b985-69032e371c04">2020-12-02T15:48:58+00:00</Date_x0020_Opened>
    <LegacyData xmlns="aaacb922-5235-4a66-b188-303b9b46fbd7" xsi:nil="true"/>
    <Descriptor xmlns="0063f72e-ace3-48fb-9c1f-5b513408b31f" xsi:nil="true"/>
    <Retention_x0020_Label xmlns="a8f60570-4bd3-4f2b-950b-a996de8ab151" xsi:nil="true"/>
    <Date_x0020_Closed xmlns="b413c3fd-5a3b-4239-b985-69032e371c04" xsi:nil="true"/>
    <SharedWithUsers xmlns="17534777-825a-4d8d-b448-aa49bdefd208">
      <UserInfo>
        <DisplayName>Preece, Phil (Office for Product Safety and Standards)</DisplayName>
        <AccountId>30</AccountId>
        <AccountType/>
      </UserInfo>
      <UserInfo>
        <DisplayName>Osman, Magda (BEIS)</DisplayName>
        <AccountId>38</AccountId>
        <AccountType/>
      </UserInfo>
      <UserInfo>
        <DisplayName>Sawyer, Michael (The Office for Product Safety and Standards)</DisplayName>
        <AccountId>83</AccountId>
        <AccountType/>
      </UserInfo>
      <UserInfo>
        <DisplayName>Greenaway, James (Office for Product Safety and Standards)</DisplayName>
        <AccountId>41</AccountId>
        <AccountType/>
      </UserInfo>
      <UserInfo>
        <DisplayName>Butterfield, Emma (BEIS)</DisplayName>
        <AccountId>87</AccountId>
        <AccountType/>
      </UserInfo>
      <UserInfo>
        <DisplayName>Mccarthy, Geraldine (The Office for Product Safety and Standards)</DisplayName>
        <AccountId>145</AccountId>
        <AccountType/>
      </UserInfo>
      <UserInfo>
        <DisplayName>Jones, Huw (Office for Product Safety and Standards)</DisplayName>
        <AccountId>65</AccountId>
        <AccountType/>
      </UserInfo>
      <UserInfo>
        <DisplayName>Fahmy, Joe (The Office for Product Safety and Standards)</DisplayName>
        <AccountId>47</AccountId>
        <AccountType/>
      </UserInfo>
      <UserInfo>
        <DisplayName>Holmes, Peter (Office for Product Safety and Standards)</DisplayName>
        <AccountId>142</AccountId>
        <AccountType/>
      </UserInfo>
      <UserInfo>
        <DisplayName>Williams, Rhodri (Office for Product Safety and Standards)</DisplayName>
        <AccountId>260</AccountId>
        <AccountType/>
      </UserInfo>
      <UserInfo>
        <DisplayName>Hanratty, Adrian (Office for Product Safety and Standards)</DisplayName>
        <AccountId>36</AccountId>
        <AccountType/>
      </UserInfo>
      <UserInfo>
        <DisplayName>Tolley, Beverley (BEIS)</DisplayName>
        <AccountId>34</AccountId>
        <AccountType/>
      </UserInfo>
      <UserInfo>
        <DisplayName>Hunter, Christopher (Office for Product Safety and Standards)</DisplayName>
        <AccountId>35</AccountId>
        <AccountType/>
      </UserInfo>
      <UserInfo>
        <DisplayName>Gauntlett, Dan (Office for Product Safety and Standards)</DisplayName>
        <AccountId>168</AccountId>
        <AccountType/>
      </UserInfo>
      <UserInfo>
        <DisplayName>Douch, Christopher (BEIS)</DisplayName>
        <AccountId>296</AccountId>
        <AccountType/>
      </UserInfo>
      <UserInfo>
        <DisplayName>Fanshawe, Bruce (Office for Product Safety and Standards)</DisplayName>
        <AccountId>443</AccountId>
        <AccountType/>
      </UserInfo>
      <UserInfo>
        <DisplayName>Boston, David (BEIS)</DisplayName>
        <AccountId>460</AccountId>
        <AccountType/>
      </UserInfo>
      <UserInfo>
        <DisplayName>Sandhu, Lakhvinder (Office for Product Safety and Standards)</DisplayName>
        <AccountId>550</AccountId>
        <AccountType/>
      </UserInfo>
      <UserInfo>
        <DisplayName>Poate2, Richard (BEIS)</DisplayName>
        <AccountId>233</AccountId>
        <AccountType/>
      </UserInfo>
      <UserInfo>
        <DisplayName>Forrest, Katherine (BEIS)</DisplayName>
        <AccountId>28</AccountId>
        <AccountType/>
      </UserInfo>
      <UserInfo>
        <DisplayName>Hamilton, Chimacho (BEIS)</DisplayName>
        <AccountId>353</AccountId>
        <AccountType/>
      </UserInfo>
      <UserInfo>
        <DisplayName>Berry, Jacqui (Office for Product Safety and Standards)</DisplayName>
        <AccountId>490</AccountId>
        <AccountType/>
      </UserInfo>
      <UserInfo>
        <DisplayName>Attamah, Chisanya (BEIS)</DisplayName>
        <AccountId>332</AccountId>
        <AccountType/>
      </UserInfo>
      <UserInfo>
        <DisplayName>Amajoutt, Driss (The Office for Product Safety and Standards)</DisplayName>
        <AccountId>349</AccountId>
        <AccountType/>
      </UserInfo>
      <UserInfo>
        <DisplayName>Callus, Amelia (BEIS)</DisplayName>
        <AccountId>295</AccountId>
        <AccountType/>
      </UserInfo>
      <UserInfo>
        <DisplayName>Burns, Matthew (Office for Product Safety and Standards)</DisplayName>
        <AccountId>351</AccountId>
        <AccountType/>
      </UserInfo>
      <UserInfo>
        <DisplayName>Musarat, Tooba (The Office for Product Safety and Standards)</DisplayName>
        <AccountId>646</AccountId>
        <AccountType/>
      </UserInfo>
      <UserInfo>
        <DisplayName>Lamplough, Leiah (Office for Product Safety and Standards)</DisplayName>
        <AccountId>200</AccountId>
        <AccountType/>
      </UserInfo>
      <UserInfo>
        <DisplayName>Hurley, Martin (BEIS)</DisplayName>
        <AccountId>575</AccountId>
        <AccountType/>
      </UserInfo>
      <UserInfo>
        <DisplayName>Denby, Daniel (BEIS)</DisplayName>
        <AccountId>524</AccountId>
        <AccountType/>
      </UserInfo>
      <UserInfo>
        <DisplayName>Johnson-Hall, Elliot (BEIS)</DisplayName>
        <AccountId>653</AccountId>
        <AccountType/>
      </UserInfo>
    </SharedWithUsers>
    <lcf76f155ced4ddcb4097134ff3c332f xmlns="21e7c010-634b-4bd8-9606-3ba596405f8d">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68B20A-D699-46EF-837E-0EC7B72DB913}">
  <ds:schemaRefs>
    <ds:schemaRef ds:uri="http://schemas.microsoft.com/sharepoint/v3/contenttype/forms"/>
  </ds:schemaRefs>
</ds:datastoreItem>
</file>

<file path=customXml/itemProps2.xml><?xml version="1.0" encoding="utf-8"?>
<ds:datastoreItem xmlns:ds="http://schemas.openxmlformats.org/officeDocument/2006/customXml" ds:itemID="{D209E349-D160-43E4-9608-9BB444991D1A}">
  <ds:schemaRefs>
    <ds:schemaRef ds:uri="http://schemas.microsoft.com/sharepoint/events"/>
  </ds:schemaRefs>
</ds:datastoreItem>
</file>

<file path=customXml/itemProps3.xml><?xml version="1.0" encoding="utf-8"?>
<ds:datastoreItem xmlns:ds="http://schemas.openxmlformats.org/officeDocument/2006/customXml" ds:itemID="{0C0AA5DD-7F9A-4A07-8627-FE7750B538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7534777-825a-4d8d-b448-aa49bdefd208"/>
    <ds:schemaRef ds:uri="0063f72e-ace3-48fb-9c1f-5b513408b31f"/>
    <ds:schemaRef ds:uri="b413c3fd-5a3b-4239-b985-69032e371c04"/>
    <ds:schemaRef ds:uri="a8f60570-4bd3-4f2b-950b-a996de8ab151"/>
    <ds:schemaRef ds:uri="aaacb922-5235-4a66-b188-303b9b46fbd7"/>
    <ds:schemaRef ds:uri="21e7c010-634b-4bd8-9606-3ba596405f8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3E98E78-11D0-4494-B935-ED3857531841}">
  <ds:schemaRefs>
    <ds:schemaRef ds:uri="http://purl.org/dc/terms/"/>
    <ds:schemaRef ds:uri="0063f72e-ace3-48fb-9c1f-5b513408b31f"/>
    <ds:schemaRef ds:uri="http://schemas.microsoft.com/office/2006/documentManagement/types"/>
    <ds:schemaRef ds:uri="http://schemas.microsoft.com/office/infopath/2007/PartnerControls"/>
    <ds:schemaRef ds:uri="b413c3fd-5a3b-4239-b985-69032e371c04"/>
    <ds:schemaRef ds:uri="http://schemas.openxmlformats.org/package/2006/metadata/core-properties"/>
    <ds:schemaRef ds:uri="http://purl.org/dc/elements/1.1/"/>
    <ds:schemaRef ds:uri="http://schemas.microsoft.com/office/2006/metadata/properties"/>
    <ds:schemaRef ds:uri="21e7c010-634b-4bd8-9606-3ba596405f8d"/>
    <ds:schemaRef ds:uri="aaacb922-5235-4a66-b188-303b9b46fbd7"/>
    <ds:schemaRef ds:uri="a8f60570-4bd3-4f2b-950b-a996de8ab151"/>
    <ds:schemaRef ds:uri="17534777-825a-4d8d-b448-aa49bdefd208"/>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Useful information </vt:lpstr>
      <vt:lpstr>Risk evaluation</vt:lpstr>
      <vt:lpstr>HIDE scores for TT</vt:lpstr>
      <vt:lpstr>HIDE scores for PRISM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Forrest, Katherine (BEIS)</dc:creator>
  <cp:keywords/>
  <dc:description/>
  <cp:lastModifiedBy>Microsoft Office User</cp:lastModifiedBy>
  <cp:revision/>
  <dcterms:created xsi:type="dcterms:W3CDTF">2020-12-02T15:49:00Z</dcterms:created>
  <dcterms:modified xsi:type="dcterms:W3CDTF">2023-05-23T22:54:52Z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usiness Unit">
    <vt:lpwstr>1;#Office for Product Safety and Standards|ce37d5da-e07d-451f-b694-ebae85a28213</vt:lpwstr>
  </property>
  <property fmtid="{D5CDD505-2E9C-101B-9397-08002B2CF9AE}" pid="3" name="ContentTypeId">
    <vt:lpwstr>0x0101005A2267190229C94FBB0633D715AFC450</vt:lpwstr>
  </property>
  <property fmtid="{D5CDD505-2E9C-101B-9397-08002B2CF9AE}" pid="4" name="_dlc_DocIdItemGuid">
    <vt:lpwstr>533c7f3e-e6fb-4f54-b0ef-945e0d264913</vt:lpwstr>
  </property>
  <property fmtid="{D5CDD505-2E9C-101B-9397-08002B2CF9AE}" pid="5" name="MSIP_Label_ba62f585-b40f-4ab9-bafe-39150f03d124_Enabled">
    <vt:lpwstr>true</vt:lpwstr>
  </property>
  <property fmtid="{D5CDD505-2E9C-101B-9397-08002B2CF9AE}" pid="6" name="MSIP_Label_ba62f585-b40f-4ab9-bafe-39150f03d124_SetDate">
    <vt:lpwstr>2020-12-02T15:49:47Z</vt:lpwstr>
  </property>
  <property fmtid="{D5CDD505-2E9C-101B-9397-08002B2CF9AE}" pid="7" name="MSIP_Label_ba62f585-b40f-4ab9-bafe-39150f03d124_Method">
    <vt:lpwstr>Standard</vt:lpwstr>
  </property>
  <property fmtid="{D5CDD505-2E9C-101B-9397-08002B2CF9AE}" pid="8" name="MSIP_Label_ba62f585-b40f-4ab9-bafe-39150f03d124_Name">
    <vt:lpwstr>OFFICIAL</vt:lpwstr>
  </property>
  <property fmtid="{D5CDD505-2E9C-101B-9397-08002B2CF9AE}" pid="9" name="MSIP_Label_ba62f585-b40f-4ab9-bafe-39150f03d124_SiteId">
    <vt:lpwstr>cbac7005-02c1-43eb-b497-e6492d1b2dd8</vt:lpwstr>
  </property>
  <property fmtid="{D5CDD505-2E9C-101B-9397-08002B2CF9AE}" pid="10" name="MSIP_Label_ba62f585-b40f-4ab9-bafe-39150f03d124_ActionId">
    <vt:lpwstr>9e468886-3fd3-422f-8b0b-076e9a58d515</vt:lpwstr>
  </property>
  <property fmtid="{D5CDD505-2E9C-101B-9397-08002B2CF9AE}" pid="11" name="MSIP_Label_ba62f585-b40f-4ab9-bafe-39150f03d124_ContentBits">
    <vt:lpwstr>0</vt:lpwstr>
  </property>
  <property fmtid="{D5CDD505-2E9C-101B-9397-08002B2CF9AE}" pid="12" name="MediaServiceImageTags">
    <vt:lpwstr/>
  </property>
</Properties>
</file>